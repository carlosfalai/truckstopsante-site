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 Faviel Font\truckstopsante-site\arpq\"/>
    </mc:Choice>
  </mc:AlternateContent>
  <xr:revisionPtr revIDLastSave="0" documentId="13_ncr:1_{56BA4CF8-E3A9-4761-8D4E-805DF6CE9DE7}" xr6:coauthVersionLast="47" xr6:coauthVersionMax="47" xr10:uidLastSave="{00000000-0000-0000-0000-000000000000}"/>
  <bookViews>
    <workbookView xWindow="-108" yWindow="-108" windowWidth="30936" windowHeight="18696" activeTab="3" xr2:uid="{00000000-000D-0000-FFFF-FFFF00000000}"/>
  </bookViews>
  <sheets>
    <sheet name="Registre" sheetId="1" r:id="rId1"/>
    <sheet name="Facturation" sheetId="2" r:id="rId2"/>
    <sheet name="Instructions" sheetId="3" r:id="rId3"/>
    <sheet name="Accès gratui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 s="1"/>
  <c r="B5" i="4"/>
  <c r="B3" i="4"/>
  <c r="C13" i="2"/>
  <c r="B8" i="2"/>
  <c r="B7" i="2"/>
  <c r="B6" i="2"/>
  <c r="B5" i="2"/>
  <c r="B9" i="2" s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<sst xmlns="http://schemas.openxmlformats.org/spreadsheetml/2006/main" count="96" uniqueCount="91">
  <si>
    <t>TRUCK STOP SANTÉ × ARPQ — REGISTRE DES PERSONNES COUVERTES</t>
  </si>
  <si>
    <t>JAUNE = rempli par l'ARPQ (ajouts et retraits) · BLEU PÂLE = rempli par la clinique (invitations, panels) · Règle : aucun nom au registre payé = aucune invitation Spruce · La ligne 4 est un EXEMPLE — la supprimer avant usage réel</t>
  </si>
  <si>
    <t>#</t>
  </si>
  <si>
    <t>Statut</t>
  </si>
  <si>
    <t>Type</t>
  </si>
  <si>
    <t>Membre principal (si Famille)</t>
  </si>
  <si>
    <t>Prénom</t>
  </si>
  <si>
    <t>Nom</t>
  </si>
  <si>
    <t>Courriel</t>
  </si>
  <si>
    <t>Cellulaire (texto)</t>
  </si>
  <si>
    <t>No membre ARPQ</t>
  </si>
  <si>
    <t>Date d'ajout</t>
  </si>
  <si>
    <t>Date de retrait</t>
  </si>
  <si>
    <t>Fin de grâce (auto)</t>
  </si>
  <si>
    <t>Invité Spruce</t>
  </si>
  <si>
    <t>Date d'invitation</t>
  </si>
  <si>
    <t>Panel (médecin)</t>
  </si>
  <si>
    <t>Notes</t>
  </si>
  <si>
    <t>Actif</t>
  </si>
  <si>
    <t>Membre</t>
  </si>
  <si>
    <t>Jean</t>
  </si>
  <si>
    <t>Tremblay</t>
  </si>
  <si>
    <t>jean.tremblay@exemple.com</t>
  </si>
  <si>
    <t>514 555-0199</t>
  </si>
  <si>
    <t>ARPQ-00123</t>
  </si>
  <si>
    <t>2026-09-15</t>
  </si>
  <si>
    <t>Oui</t>
  </si>
  <si>
    <t>2026-09-16</t>
  </si>
  <si>
    <t>Dr Font</t>
  </si>
  <si>
    <t>EXEMPLE — supprimer cette ligne</t>
  </si>
  <si>
    <t>Astuce : sélectionnez la ligne 5 au complet et glissez vers le bas pour étendre couleurs et formule « Fin de grâce ».</t>
  </si>
  <si>
    <t>FACTURATION MENSUELLE — LA CLINIQUE FACTURE L'ARPQ (les membres ne paient jamais la clinique)</t>
  </si>
  <si>
    <t>Tarif mensuel par personne couverte</t>
  </si>
  <si>
    <t>← Hypothèse fournie par Dr Font (tarif fixe de l'entente ARPQ). Modifier seulement si l'entente change.</t>
  </si>
  <si>
    <t>Personnes ACTIVES (facturables), en direct :</t>
  </si>
  <si>
    <t>Personnes en GRÂCE 90 jours (non facturées) :</t>
  </si>
  <si>
    <t>Personnes RETIRÉES :</t>
  </si>
  <si>
    <t>Invitations Spruce À FAIRE (actifs non invités) :</t>
  </si>
  <si>
    <t>MONTANT DU MOIS EN COURS :</t>
  </si>
  <si>
    <t>HISTORIQUE (chaque mois : recopier les chiffres du haut en VALEURS au moment d'envoyer la facture Stripe)</t>
  </si>
  <si>
    <t>Mois (aaaa-mm)</t>
  </si>
  <si>
    <t>Personnes actives</t>
  </si>
  <si>
    <t>Montant facturé</t>
  </si>
  <si>
    <t>Facture envoyée le</t>
  </si>
  <si>
    <t>Payée le</t>
  </si>
  <si>
    <t>2026-09</t>
  </si>
  <si>
    <t>2026-09-01</t>
  </si>
  <si>
    <t>2026-09-04</t>
  </si>
  <si>
    <t>EXEMPLE — supprimer</t>
  </si>
  <si>
    <t>MODE D'EMPLOI — REGISTRE TRUCK STOP SANTÉ × ARPQ</t>
  </si>
  <si>
    <t>CÔTÉ ARPQ (colonnes JAUNES de l'onglet Registre)</t>
  </si>
  <si>
    <t>1.</t>
  </si>
  <si>
    <t>Ajouter une ligne par personne couverte — un membre OU un membre de sa famille (18 ans et plus). Chaque personne compte pour une place.</t>
  </si>
  <si>
    <t>1b.</t>
  </si>
  <si>
    <t>OBLIGATOIRE pour l'invitation Spruce — pour CHAQUE personne (membre ET famille) : prénom + nom, CELLULAIRE pouvant recevoir des textos, et courriel. Sans ces trois informations, pas d'invitation possible.</t>
  </si>
  <si>
    <t>2.</t>
  </si>
  <si>
    <t>Statut « Actif » dès que la personne est couverte par le paiement de l'ARPQ.</t>
  </si>
  <si>
    <t>3.</t>
  </si>
  <si>
    <t>Quand une personne cesse d'être couverte (départ, non-paiement des cotisations) : Statut « Grâce 90 jours » + inscrire la Date de retrait. La colonne « Fin de grâce » se calcule seule.</t>
  </si>
  <si>
    <t>4.</t>
  </si>
  <si>
    <t>Ne jamais effacer une ligne — passer le statut à « Retiré » après la grâce.</t>
  </si>
  <si>
    <t>CÔTÉ CLINIQUE (colonnes BLEU PÂLE)</t>
  </si>
  <si>
    <t>5.</t>
  </si>
  <si>
    <t>Règle d'or : aucun nom au registre payé = aucune invitation Spruce.</t>
  </si>
  <si>
    <t>6.</t>
  </si>
  <si>
    <t>Chaque jour : onglet Facturation, case « Invitations à faire » → envoyer l'invitation Spruce + le courriel modèle (brouillon Gmail « MODÈLE — Bienvenue ») → marquer Invité = Oui + date.</t>
  </si>
  <si>
    <t>7.</t>
  </si>
  <si>
    <t>À la Fin de grâce : désactiver la personne dans Spruce, passer le statut à « Retiré ».</t>
  </si>
  <si>
    <t>8.</t>
  </si>
  <si>
    <t>Chaque début de mois : figer les chiffres dans l'HISTORIQUE (onglet Facturation) et envoyer la facture Stripe à l'ARPQ (personnes actives × tarif).</t>
  </si>
  <si>
    <t>PARTAGE</t>
  </si>
  <si>
    <t>9.</t>
  </si>
  <si>
    <t>Une fois converti en Google Sheet : Partager → cff@centremedicalfont.ca (Éditeur) + la personne-ressource ARPQ (Éditeur). Personne d'autre.</t>
  </si>
  <si>
    <t>10.</t>
  </si>
  <si>
    <t>Les données de santé ne vont JAMAIS dans ce fichier — seulement l'identité et les coordonnées (Loi 25 : minimisation).</t>
  </si>
  <si>
    <t>BANQUE DE CONSULTATIONS GRATUITES - POUR QUI l'ARPQ VEUT (pas besoin de payer, envoyez-les-nous)</t>
  </si>
  <si>
    <t>Personnes ACTIVES au registre (en direct) :</t>
  </si>
  <si>
    <t>Règle : 5 consultations gratuites par mois par tranche de 100 personnes couvertes (1 000 = 50)</t>
  </si>
  <si>
    <t>CONSULTATIONS GRATUITES DISPONIBLES CE MOIS :</t>
  </si>
  <si>
    <t>Utilisées ce mois (compte automatique des lignes du mois courant) :</t>
  </si>
  <si>
    <t>Restantes ce mois :</t>
  </si>
  <si>
    <t>Date d'envoi</t>
  </si>
  <si>
    <t>Envoyé par (ARPQ / entreprise)</t>
  </si>
  <si>
    <t>Invité Spruce le</t>
  </si>
  <si>
    <t>Notes (jamais de données de santé)</t>
  </si>
  <si>
    <t>Marc</t>
  </si>
  <si>
    <t>Exemple</t>
  </si>
  <si>
    <t>514 555-0100</t>
  </si>
  <si>
    <t>marc@exemple.com</t>
  </si>
  <si>
    <t>Steve B.</t>
  </si>
  <si>
    <t>EXEMPLE - supprimer cette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</si>
</sst>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$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name val="Arial"/>
    </font>
    <font>
      <b/>
      <sz val="9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  <font>
      <b/>
      <sz val="10"/>
      <color rgb="FF0000FF"/>
      <name val="Arial"/>
    </font>
    <font>
      <b/>
      <sz val="11"/>
      <name val="Arial"/>
    </font>
    <font>
      <b/>
      <sz val="12"/>
      <color rgb="FFFFFFFF"/>
      <name val="Arial"/>
    </font>
    <font>
      <b/>
      <i/>
      <sz val="10"/>
      <name val="Arial"/>
    </font>
    <font>
      <b/>
      <sz val="11"/>
      <color rgb="FF14264A"/>
      <name val="Arial"/>
    </font>
    <font>
      <sz val="11"/>
      <name val="Calibri"/>
    </font>
    <font>
      <b/>
      <sz val="10"/>
      <color rgb="FFC00000"/>
      <name val="Arial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4264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CE9F7"/>
      </patternFill>
    </fill>
    <fill>
      <patternFill patternType="solid">
        <fgColor rgb="FFFFFF00"/>
      </patternFill>
    </fill>
    <fill>
      <patternFill patternType="solid">
        <fgColor rgb="FFF59E0B"/>
      </patternFill>
    </fill>
    <fill>
      <patternFill patternType="solid">
        <fgColor rgb="FF14264A"/>
        <bgColor indexed="64"/>
      </patternFill>
    </fill>
    <fill>
      <patternFill patternType="solid">
        <fgColor rgb="FFF59E0B"/>
        <bgColor indexed="64"/>
      </patternFill>
    </fill>
  </fills>
  <borders count="3">
    <border>
      <left/>
      <right/>
      <top/>
      <bottom/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4" fontId="4" fillId="0" borderId="1" xfId="0" applyNumberFormat="1" applyFont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0" fontId="6" fillId="0" borderId="0" xfId="0" applyFont="1"/>
    <xf numFmtId="165" fontId="7" fillId="6" borderId="0" xfId="0" applyNumberFormat="1" applyFont="1" applyFill="1"/>
    <xf numFmtId="0" fontId="2" fillId="0" borderId="0" xfId="0" applyFont="1"/>
    <xf numFmtId="0" fontId="8" fillId="0" borderId="0" xfId="0" applyFont="1"/>
    <xf numFmtId="165" fontId="9" fillId="7" borderId="0" xfId="0" applyNumberFormat="1" applyFont="1" applyFill="1"/>
    <xf numFmtId="0" fontId="10" fillId="0" borderId="0" xfId="0" applyFont="1"/>
    <xf numFmtId="0" fontId="3" fillId="2" borderId="1" xfId="0" applyFont="1" applyFill="1" applyBorder="1"/>
    <xf numFmtId="0" fontId="4" fillId="0" borderId="1" xfId="0" applyFont="1" applyBorder="1"/>
    <xf numFmtId="165" fontId="4" fillId="0" borderId="1" xfId="0" applyNumberFormat="1" applyFont="1" applyBorder="1"/>
    <xf numFmtId="0" fontId="4" fillId="0" borderId="0" xfId="0" applyFont="1" applyAlignment="1">
      <alignment vertical="top" wrapText="1"/>
    </xf>
    <xf numFmtId="0" fontId="11" fillId="0" borderId="0" xfId="0" applyFont="1"/>
    <xf numFmtId="0" fontId="12" fillId="0" borderId="2" xfId="0" applyFont="1" applyBorder="1"/>
    <xf numFmtId="0" fontId="1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15" fillId="8" borderId="0" xfId="0" applyFont="1" applyFill="1"/>
    <xf numFmtId="0" fontId="0" fillId="8" borderId="0" xfId="0" applyFill="1"/>
    <xf numFmtId="0" fontId="14" fillId="0" borderId="0" xfId="0" applyFont="1"/>
    <xf numFmtId="0" fontId="14" fillId="9" borderId="0" xfId="0" applyFont="1" applyFill="1"/>
    <xf numFmtId="0" fontId="16" fillId="8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3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5" customWidth="1"/>
    <col min="2" max="2" width="14" customWidth="1"/>
    <col min="3" max="3" width="10" customWidth="1"/>
    <col min="4" max="4" width="22" customWidth="1"/>
    <col min="5" max="5" width="14" customWidth="1"/>
    <col min="6" max="6" width="16" customWidth="1"/>
    <col min="7" max="7" width="30" customWidth="1"/>
    <col min="8" max="9" width="15" customWidth="1"/>
    <col min="10" max="11" width="12" customWidth="1"/>
    <col min="12" max="12" width="14" customWidth="1"/>
    <col min="13" max="13" width="11" customWidth="1"/>
    <col min="14" max="15" width="14" customWidth="1"/>
    <col min="16" max="16" width="28" customWidth="1"/>
  </cols>
  <sheetData>
    <row r="1" spans="1:16" ht="28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0" customHeight="1" x14ac:dyDescent="0.3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x14ac:dyDescent="0.3">
      <c r="A4" s="2">
        <v>1</v>
      </c>
      <c r="B4" s="2" t="s">
        <v>18</v>
      </c>
      <c r="C4" s="2" t="s">
        <v>19</v>
      </c>
      <c r="D4" s="2"/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3" t="s">
        <v>25</v>
      </c>
      <c r="K4" s="3"/>
      <c r="L4" s="4" t="str">
        <f t="shared" ref="L4:L35" si="0">IF($K4="","",$K4+90)</f>
        <v/>
      </c>
      <c r="M4" s="5" t="s">
        <v>26</v>
      </c>
      <c r="N4" s="6" t="s">
        <v>27</v>
      </c>
      <c r="O4" s="5" t="s">
        <v>28</v>
      </c>
      <c r="P4" s="5" t="s">
        <v>29</v>
      </c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4" t="str">
        <f t="shared" si="0"/>
        <v/>
      </c>
      <c r="M5" s="5"/>
      <c r="N5" s="6"/>
      <c r="O5" s="5"/>
      <c r="P5" s="5" t="s">
        <v>30</v>
      </c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3"/>
      <c r="K6" s="3"/>
      <c r="L6" s="4" t="str">
        <f t="shared" si="0"/>
        <v/>
      </c>
      <c r="M6" s="5"/>
      <c r="N6" s="6"/>
      <c r="O6" s="5"/>
      <c r="P6" s="5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4" t="str">
        <f t="shared" si="0"/>
        <v/>
      </c>
      <c r="M7" s="5"/>
      <c r="N7" s="6"/>
      <c r="O7" s="5"/>
      <c r="P7" s="5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4" t="str">
        <f t="shared" si="0"/>
        <v/>
      </c>
      <c r="M8" s="5"/>
      <c r="N8" s="6"/>
      <c r="O8" s="5"/>
      <c r="P8" s="5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4" t="str">
        <f t="shared" si="0"/>
        <v/>
      </c>
      <c r="M9" s="5"/>
      <c r="N9" s="6"/>
      <c r="O9" s="5"/>
      <c r="P9" s="5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4" t="str">
        <f t="shared" si="0"/>
        <v/>
      </c>
      <c r="M10" s="5"/>
      <c r="N10" s="6"/>
      <c r="O10" s="5"/>
      <c r="P10" s="5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4" t="str">
        <f t="shared" si="0"/>
        <v/>
      </c>
      <c r="M11" s="5"/>
      <c r="N11" s="6"/>
      <c r="O11" s="5"/>
      <c r="P11" s="5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4" t="str">
        <f t="shared" si="0"/>
        <v/>
      </c>
      <c r="M12" s="5"/>
      <c r="N12" s="6"/>
      <c r="O12" s="5"/>
      <c r="P12" s="5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4" t="str">
        <f t="shared" si="0"/>
        <v/>
      </c>
      <c r="M13" s="5"/>
      <c r="N13" s="6"/>
      <c r="O13" s="5"/>
      <c r="P13" s="5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4" t="str">
        <f t="shared" si="0"/>
        <v/>
      </c>
      <c r="M14" s="5"/>
      <c r="N14" s="6"/>
      <c r="O14" s="5"/>
      <c r="P14" s="5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4" t="str">
        <f t="shared" si="0"/>
        <v/>
      </c>
      <c r="M15" s="5"/>
      <c r="N15" s="6"/>
      <c r="O15" s="5"/>
      <c r="P15" s="5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4" t="str">
        <f t="shared" si="0"/>
        <v/>
      </c>
      <c r="M16" s="5"/>
      <c r="N16" s="6"/>
      <c r="O16" s="5"/>
      <c r="P16" s="5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4" t="str">
        <f t="shared" si="0"/>
        <v/>
      </c>
      <c r="M17" s="5"/>
      <c r="N17" s="6"/>
      <c r="O17" s="5"/>
      <c r="P17" s="5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4" t="str">
        <f t="shared" si="0"/>
        <v/>
      </c>
      <c r="M18" s="5"/>
      <c r="N18" s="6"/>
      <c r="O18" s="5"/>
      <c r="P18" s="5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4" t="str">
        <f t="shared" si="0"/>
        <v/>
      </c>
      <c r="M19" s="5"/>
      <c r="N19" s="6"/>
      <c r="O19" s="5"/>
      <c r="P19" s="5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4" t="str">
        <f t="shared" si="0"/>
        <v/>
      </c>
      <c r="M20" s="5"/>
      <c r="N20" s="6"/>
      <c r="O20" s="5"/>
      <c r="P20" s="5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4" t="str">
        <f t="shared" si="0"/>
        <v/>
      </c>
      <c r="M21" s="5"/>
      <c r="N21" s="6"/>
      <c r="O21" s="5"/>
      <c r="P21" s="5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4" t="str">
        <f t="shared" si="0"/>
        <v/>
      </c>
      <c r="M22" s="5"/>
      <c r="N22" s="6"/>
      <c r="O22" s="5"/>
      <c r="P22" s="5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4" t="str">
        <f t="shared" si="0"/>
        <v/>
      </c>
      <c r="M23" s="5"/>
      <c r="N23" s="6"/>
      <c r="O23" s="5"/>
      <c r="P23" s="5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4" t="str">
        <f t="shared" si="0"/>
        <v/>
      </c>
      <c r="M24" s="5"/>
      <c r="N24" s="6"/>
      <c r="O24" s="5"/>
      <c r="P24" s="5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4" t="str">
        <f t="shared" si="0"/>
        <v/>
      </c>
      <c r="M25" s="5"/>
      <c r="N25" s="6"/>
      <c r="O25" s="5"/>
      <c r="P25" s="5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4" t="str">
        <f t="shared" si="0"/>
        <v/>
      </c>
      <c r="M26" s="5"/>
      <c r="N26" s="6"/>
      <c r="O26" s="5"/>
      <c r="P26" s="5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4" t="str">
        <f t="shared" si="0"/>
        <v/>
      </c>
      <c r="M27" s="5"/>
      <c r="N27" s="6"/>
      <c r="O27" s="5"/>
      <c r="P27" s="5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4" t="str">
        <f t="shared" si="0"/>
        <v/>
      </c>
      <c r="M28" s="5"/>
      <c r="N28" s="6"/>
      <c r="O28" s="5"/>
      <c r="P28" s="5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  <c r="L29" s="4" t="str">
        <f t="shared" si="0"/>
        <v/>
      </c>
      <c r="M29" s="5"/>
      <c r="N29" s="6"/>
      <c r="O29" s="5"/>
      <c r="P29" s="5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4" t="str">
        <f t="shared" si="0"/>
        <v/>
      </c>
      <c r="M30" s="5"/>
      <c r="N30" s="6"/>
      <c r="O30" s="5"/>
      <c r="P30" s="5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3"/>
      <c r="K31" s="3"/>
      <c r="L31" s="4" t="str">
        <f t="shared" si="0"/>
        <v/>
      </c>
      <c r="M31" s="5"/>
      <c r="N31" s="6"/>
      <c r="O31" s="5"/>
      <c r="P31" s="5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3"/>
      <c r="K32" s="3"/>
      <c r="L32" s="4" t="str">
        <f t="shared" si="0"/>
        <v/>
      </c>
      <c r="M32" s="5"/>
      <c r="N32" s="6"/>
      <c r="O32" s="5"/>
      <c r="P32" s="5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3"/>
      <c r="K33" s="3"/>
      <c r="L33" s="4" t="str">
        <f t="shared" si="0"/>
        <v/>
      </c>
      <c r="M33" s="5"/>
      <c r="N33" s="6"/>
      <c r="O33" s="5"/>
      <c r="P33" s="5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3"/>
      <c r="K34" s="3"/>
      <c r="L34" s="4" t="str">
        <f t="shared" si="0"/>
        <v/>
      </c>
      <c r="M34" s="5"/>
      <c r="N34" s="6"/>
      <c r="O34" s="5"/>
      <c r="P34" s="5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4" t="str">
        <f t="shared" si="0"/>
        <v/>
      </c>
      <c r="M35" s="5"/>
      <c r="N35" s="6"/>
      <c r="O35" s="5"/>
      <c r="P35" s="5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4" t="str">
        <f t="shared" ref="L36:L63" si="1">IF($K36="","",$K36+90)</f>
        <v/>
      </c>
      <c r="M36" s="5"/>
      <c r="N36" s="6"/>
      <c r="O36" s="5"/>
      <c r="P36" s="5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3"/>
      <c r="K37" s="3"/>
      <c r="L37" s="4" t="str">
        <f t="shared" si="1"/>
        <v/>
      </c>
      <c r="M37" s="5"/>
      <c r="N37" s="6"/>
      <c r="O37" s="5"/>
      <c r="P37" s="5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3"/>
      <c r="K38" s="3"/>
      <c r="L38" s="4" t="str">
        <f t="shared" si="1"/>
        <v/>
      </c>
      <c r="M38" s="5"/>
      <c r="N38" s="6"/>
      <c r="O38" s="5"/>
      <c r="P38" s="5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4" t="str">
        <f t="shared" si="1"/>
        <v/>
      </c>
      <c r="M39" s="5"/>
      <c r="N39" s="6"/>
      <c r="O39" s="5"/>
      <c r="P39" s="5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4" t="str">
        <f t="shared" si="1"/>
        <v/>
      </c>
      <c r="M40" s="5"/>
      <c r="N40" s="6"/>
      <c r="O40" s="5"/>
      <c r="P40" s="5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4" t="str">
        <f t="shared" si="1"/>
        <v/>
      </c>
      <c r="M41" s="5"/>
      <c r="N41" s="6"/>
      <c r="O41" s="5"/>
      <c r="P41" s="5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4" t="str">
        <f t="shared" si="1"/>
        <v/>
      </c>
      <c r="M42" s="5"/>
      <c r="N42" s="6"/>
      <c r="O42" s="5"/>
      <c r="P42" s="5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4" t="str">
        <f t="shared" si="1"/>
        <v/>
      </c>
      <c r="M43" s="5"/>
      <c r="N43" s="6"/>
      <c r="O43" s="5"/>
      <c r="P43" s="5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4" t="str">
        <f t="shared" si="1"/>
        <v/>
      </c>
      <c r="M44" s="5"/>
      <c r="N44" s="6"/>
      <c r="O44" s="5"/>
      <c r="P44" s="5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4" t="str">
        <f t="shared" si="1"/>
        <v/>
      </c>
      <c r="M45" s="5"/>
      <c r="N45" s="6"/>
      <c r="O45" s="5"/>
      <c r="P45" s="5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4" t="str">
        <f t="shared" si="1"/>
        <v/>
      </c>
      <c r="M46" s="5"/>
      <c r="N46" s="6"/>
      <c r="O46" s="5"/>
      <c r="P46" s="5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4" t="str">
        <f t="shared" si="1"/>
        <v/>
      </c>
      <c r="M47" s="5"/>
      <c r="N47" s="6"/>
      <c r="O47" s="5"/>
      <c r="P47" s="5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4" t="str">
        <f t="shared" si="1"/>
        <v/>
      </c>
      <c r="M48" s="5"/>
      <c r="N48" s="6"/>
      <c r="O48" s="5"/>
      <c r="P48" s="5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4" t="str">
        <f t="shared" si="1"/>
        <v/>
      </c>
      <c r="M49" s="5"/>
      <c r="N49" s="6"/>
      <c r="O49" s="5"/>
      <c r="P49" s="5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4" t="str">
        <f t="shared" si="1"/>
        <v/>
      </c>
      <c r="M50" s="5"/>
      <c r="N50" s="6"/>
      <c r="O50" s="5"/>
      <c r="P50" s="5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4" t="str">
        <f t="shared" si="1"/>
        <v/>
      </c>
      <c r="M51" s="5"/>
      <c r="N51" s="6"/>
      <c r="O51" s="5"/>
      <c r="P51" s="5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4" t="str">
        <f t="shared" si="1"/>
        <v/>
      </c>
      <c r="M52" s="5"/>
      <c r="N52" s="6"/>
      <c r="O52" s="5"/>
      <c r="P52" s="5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4" t="str">
        <f t="shared" si="1"/>
        <v/>
      </c>
      <c r="M53" s="5"/>
      <c r="N53" s="6"/>
      <c r="O53" s="5"/>
      <c r="P53" s="5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4" t="str">
        <f t="shared" si="1"/>
        <v/>
      </c>
      <c r="M54" s="5"/>
      <c r="N54" s="6"/>
      <c r="O54" s="5"/>
      <c r="P54" s="5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4" t="str">
        <f t="shared" si="1"/>
        <v/>
      </c>
      <c r="M55" s="5"/>
      <c r="N55" s="6"/>
      <c r="O55" s="5"/>
      <c r="P55" s="5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4" t="str">
        <f t="shared" si="1"/>
        <v/>
      </c>
      <c r="M56" s="5"/>
      <c r="N56" s="6"/>
      <c r="O56" s="5"/>
      <c r="P56" s="5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4" t="str">
        <f t="shared" si="1"/>
        <v/>
      </c>
      <c r="M57" s="5"/>
      <c r="N57" s="6"/>
      <c r="O57" s="5"/>
      <c r="P57" s="5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4" t="str">
        <f t="shared" si="1"/>
        <v/>
      </c>
      <c r="M58" s="5"/>
      <c r="N58" s="6"/>
      <c r="O58" s="5"/>
      <c r="P58" s="5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4" t="str">
        <f t="shared" si="1"/>
        <v/>
      </c>
      <c r="M59" s="5"/>
      <c r="N59" s="6"/>
      <c r="O59" s="5"/>
      <c r="P59" s="5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4" t="str">
        <f t="shared" si="1"/>
        <v/>
      </c>
      <c r="M60" s="5"/>
      <c r="N60" s="6"/>
      <c r="O60" s="5"/>
      <c r="P60" s="5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4" t="str">
        <f t="shared" si="1"/>
        <v/>
      </c>
      <c r="M61" s="5"/>
      <c r="N61" s="6"/>
      <c r="O61" s="5"/>
      <c r="P61" s="5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4" t="str">
        <f t="shared" si="1"/>
        <v/>
      </c>
      <c r="M62" s="5"/>
      <c r="N62" s="6"/>
      <c r="O62" s="5"/>
      <c r="P62" s="5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4" t="str">
        <f t="shared" si="1"/>
        <v/>
      </c>
      <c r="M63" s="5"/>
      <c r="N63" s="6"/>
      <c r="O63" s="5"/>
      <c r="P63" s="5"/>
    </row>
    <row r="64" spans="1:16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spans="1:16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spans="1:16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spans="1:16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</sheetData>
  <mergeCells count="2">
    <mergeCell ref="A1:P1"/>
    <mergeCell ref="A2:P2"/>
  </mergeCells>
  <dataValidations count="3">
    <dataValidation type="list" allowBlank="1" sqref="B4:B503" xr:uid="{00000000-0002-0000-0000-000000000000}">
      <formula1>"Actif,Grâce 90 jours,Retiré"</formula1>
    </dataValidation>
    <dataValidation type="list" allowBlank="1" sqref="C4:C503" xr:uid="{00000000-0002-0000-0000-000001000000}">
      <formula1>"Membre,Famille"</formula1>
    </dataValidation>
    <dataValidation type="list" allowBlank="1" sqref="M4:M503" xr:uid="{00000000-0002-0000-0000-000002000000}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3"/>
  <cols>
    <col min="1" max="1" width="16" customWidth="1"/>
    <col min="2" max="2" width="18" customWidth="1"/>
    <col min="3" max="3" width="16" customWidth="1"/>
    <col min="4" max="4" width="18" customWidth="1"/>
    <col min="5" max="5" width="14" customWidth="1"/>
    <col min="6" max="6" width="30" customWidth="1"/>
  </cols>
  <sheetData>
    <row r="1" spans="1:7" ht="25.95" customHeight="1" x14ac:dyDescent="0.3">
      <c r="A1" s="23" t="s">
        <v>31</v>
      </c>
      <c r="B1" s="21"/>
      <c r="C1" s="21"/>
      <c r="D1" s="21"/>
      <c r="E1" s="21"/>
      <c r="F1" s="21"/>
      <c r="G1" s="21"/>
    </row>
    <row r="3" spans="1:7" x14ac:dyDescent="0.3">
      <c r="A3" s="7" t="s">
        <v>32</v>
      </c>
      <c r="B3" s="8">
        <v>8</v>
      </c>
      <c r="C3" s="9" t="s">
        <v>33</v>
      </c>
    </row>
    <row r="5" spans="1:7" x14ac:dyDescent="0.3">
      <c r="A5" s="7" t="s">
        <v>34</v>
      </c>
      <c r="B5" s="10">
        <f>COUNTIF(Registre!B4:B503,"Actif")</f>
        <v>1</v>
      </c>
    </row>
    <row r="6" spans="1:7" x14ac:dyDescent="0.3">
      <c r="A6" s="7" t="s">
        <v>35</v>
      </c>
      <c r="B6" s="10">
        <f>COUNTIF(Registre!B4:B503,"Grâce 90 jours")</f>
        <v>0</v>
      </c>
    </row>
    <row r="7" spans="1:7" x14ac:dyDescent="0.3">
      <c r="A7" s="7" t="s">
        <v>36</v>
      </c>
      <c r="B7" s="10">
        <f>COUNTIF(Registre!B4:B503,"Retiré")</f>
        <v>0</v>
      </c>
    </row>
    <row r="8" spans="1:7" x14ac:dyDescent="0.3">
      <c r="A8" s="7" t="s">
        <v>37</v>
      </c>
      <c r="B8" s="10">
        <f>COUNTIFS(Registre!B4:B503,"Actif",Registre!M4:M503,"Non")</f>
        <v>0</v>
      </c>
    </row>
    <row r="9" spans="1:7" ht="15.6" x14ac:dyDescent="0.3">
      <c r="A9" s="7" t="s">
        <v>38</v>
      </c>
      <c r="B9" s="11">
        <f>B5*B3</f>
        <v>8</v>
      </c>
    </row>
    <row r="11" spans="1:7" x14ac:dyDescent="0.3">
      <c r="A11" s="12" t="s">
        <v>39</v>
      </c>
    </row>
    <row r="12" spans="1:7" x14ac:dyDescent="0.3">
      <c r="A12" s="13" t="s">
        <v>40</v>
      </c>
      <c r="B12" s="13" t="s">
        <v>41</v>
      </c>
      <c r="C12" s="13" t="s">
        <v>42</v>
      </c>
      <c r="D12" s="13" t="s">
        <v>43</v>
      </c>
      <c r="E12" s="13" t="s">
        <v>44</v>
      </c>
      <c r="F12" s="13" t="s">
        <v>17</v>
      </c>
    </row>
    <row r="13" spans="1:7" x14ac:dyDescent="0.3">
      <c r="A13" s="14" t="s">
        <v>45</v>
      </c>
      <c r="B13" s="14">
        <v>152</v>
      </c>
      <c r="C13" s="15">
        <f>B13*Facturation!$B$3</f>
        <v>1216</v>
      </c>
      <c r="D13" s="14" t="s">
        <v>46</v>
      </c>
      <c r="E13" s="14" t="s">
        <v>47</v>
      </c>
      <c r="F13" s="14" t="s">
        <v>48</v>
      </c>
    </row>
    <row r="14" spans="1:7" x14ac:dyDescent="0.3">
      <c r="A14" s="14"/>
      <c r="B14" s="14"/>
      <c r="C14" s="14"/>
      <c r="D14" s="14"/>
      <c r="E14" s="14"/>
      <c r="F14" s="14"/>
    </row>
    <row r="15" spans="1:7" x14ac:dyDescent="0.3">
      <c r="A15" s="14"/>
      <c r="B15" s="14"/>
      <c r="C15" s="14"/>
      <c r="D15" s="14"/>
      <c r="E15" s="14"/>
      <c r="F15" s="14"/>
    </row>
    <row r="16" spans="1:7" x14ac:dyDescent="0.3">
      <c r="A16" s="14"/>
      <c r="B16" s="14"/>
      <c r="C16" s="14"/>
      <c r="D16" s="14"/>
      <c r="E16" s="14"/>
      <c r="F16" s="14"/>
    </row>
    <row r="17" spans="1:6" x14ac:dyDescent="0.3">
      <c r="A17" s="14"/>
      <c r="B17" s="14"/>
      <c r="C17" s="14"/>
      <c r="D17" s="14"/>
      <c r="E17" s="14"/>
      <c r="F17" s="14"/>
    </row>
    <row r="18" spans="1:6" x14ac:dyDescent="0.3">
      <c r="A18" s="14"/>
      <c r="B18" s="14"/>
      <c r="C18" s="14"/>
      <c r="D18" s="14"/>
      <c r="E18" s="14"/>
      <c r="F18" s="14"/>
    </row>
    <row r="19" spans="1:6" x14ac:dyDescent="0.3">
      <c r="A19" s="14"/>
      <c r="B19" s="14"/>
      <c r="C19" s="14"/>
      <c r="D19" s="14"/>
      <c r="E19" s="14"/>
      <c r="F19" s="14"/>
    </row>
    <row r="20" spans="1:6" x14ac:dyDescent="0.3">
      <c r="A20" s="14"/>
      <c r="B20" s="14"/>
      <c r="C20" s="14"/>
      <c r="D20" s="14"/>
      <c r="E20" s="14"/>
      <c r="F20" s="14"/>
    </row>
    <row r="21" spans="1:6" x14ac:dyDescent="0.3">
      <c r="A21" s="14"/>
      <c r="B21" s="14"/>
      <c r="C21" s="14"/>
      <c r="D21" s="14"/>
      <c r="E21" s="14"/>
      <c r="F21" s="14"/>
    </row>
    <row r="22" spans="1:6" x14ac:dyDescent="0.3">
      <c r="A22" s="14"/>
      <c r="B22" s="14"/>
      <c r="C22" s="14"/>
      <c r="D22" s="14"/>
      <c r="E22" s="14"/>
      <c r="F22" s="14"/>
    </row>
    <row r="23" spans="1:6" x14ac:dyDescent="0.3">
      <c r="A23" s="14"/>
      <c r="B23" s="14"/>
      <c r="C23" s="14"/>
      <c r="D23" s="14"/>
      <c r="E23" s="14"/>
      <c r="F23" s="14"/>
    </row>
    <row r="24" spans="1:6" x14ac:dyDescent="0.3">
      <c r="A24" s="14"/>
      <c r="B24" s="14"/>
      <c r="C24" s="14"/>
      <c r="D24" s="14"/>
      <c r="E24" s="14"/>
      <c r="F24" s="14"/>
    </row>
    <row r="25" spans="1:6" x14ac:dyDescent="0.3">
      <c r="A25" s="14"/>
      <c r="B25" s="14"/>
      <c r="C25" s="14"/>
      <c r="D25" s="14"/>
      <c r="E25" s="14"/>
      <c r="F25" s="14"/>
    </row>
    <row r="26" spans="1:6" x14ac:dyDescent="0.3">
      <c r="A26" s="14"/>
      <c r="B26" s="14"/>
      <c r="C26" s="14"/>
      <c r="D26" s="14"/>
      <c r="E26" s="14"/>
      <c r="F26" s="14"/>
    </row>
    <row r="27" spans="1:6" x14ac:dyDescent="0.3">
      <c r="A27" s="14"/>
      <c r="B27" s="14"/>
      <c r="C27" s="14"/>
      <c r="D27" s="14"/>
      <c r="E27" s="14"/>
      <c r="F27" s="14"/>
    </row>
    <row r="28" spans="1:6" x14ac:dyDescent="0.3">
      <c r="A28" s="14"/>
      <c r="B28" s="14"/>
      <c r="C28" s="14"/>
      <c r="D28" s="14"/>
      <c r="E28" s="14"/>
      <c r="F28" s="14"/>
    </row>
    <row r="29" spans="1:6" x14ac:dyDescent="0.3">
      <c r="A29" s="14"/>
      <c r="B29" s="14"/>
      <c r="C29" s="14"/>
      <c r="D29" s="14"/>
      <c r="E29" s="14"/>
      <c r="F29" s="14"/>
    </row>
    <row r="30" spans="1:6" x14ac:dyDescent="0.3">
      <c r="A30" s="14"/>
      <c r="B30" s="14"/>
      <c r="C30" s="14"/>
      <c r="D30" s="14"/>
      <c r="E30" s="14"/>
      <c r="F30" s="14"/>
    </row>
    <row r="31" spans="1:6" x14ac:dyDescent="0.3">
      <c r="A31" s="14"/>
      <c r="B31" s="14"/>
      <c r="C31" s="14"/>
      <c r="D31" s="14"/>
      <c r="E31" s="14"/>
      <c r="F31" s="14"/>
    </row>
    <row r="32" spans="1:6" x14ac:dyDescent="0.3">
      <c r="A32" s="14"/>
      <c r="B32" s="14"/>
      <c r="C32" s="14"/>
      <c r="D32" s="14"/>
      <c r="E32" s="14"/>
      <c r="F32" s="14"/>
    </row>
    <row r="33" spans="1:6" x14ac:dyDescent="0.3">
      <c r="A33" s="14"/>
      <c r="B33" s="14"/>
      <c r="C33" s="14"/>
      <c r="D33" s="14"/>
      <c r="E33" s="14"/>
      <c r="F33" s="14"/>
    </row>
    <row r="34" spans="1:6" x14ac:dyDescent="0.3">
      <c r="A34" s="14"/>
      <c r="B34" s="14"/>
      <c r="C34" s="14"/>
      <c r="D34" s="14"/>
      <c r="E34" s="14"/>
      <c r="F34" s="14"/>
    </row>
    <row r="35" spans="1:6" x14ac:dyDescent="0.3">
      <c r="A35" s="14"/>
      <c r="B35" s="14"/>
      <c r="C35" s="14"/>
      <c r="D35" s="14"/>
      <c r="E35" s="14"/>
      <c r="F35" s="14"/>
    </row>
    <row r="36" spans="1:6" x14ac:dyDescent="0.3">
      <c r="A36" s="14"/>
      <c r="B36" s="14"/>
      <c r="C36" s="14"/>
      <c r="D36" s="14"/>
      <c r="E36" s="14"/>
      <c r="F36" s="14"/>
    </row>
    <row r="37" spans="1:6" x14ac:dyDescent="0.3">
      <c r="A37" s="14"/>
      <c r="B37" s="14"/>
      <c r="C37" s="14"/>
      <c r="D37" s="14"/>
      <c r="E37" s="14"/>
      <c r="F37" s="14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sqref="A1:B1"/>
    </sheetView>
  </sheetViews>
  <sheetFormatPr defaultRowHeight="14.4" x14ac:dyDescent="0.3"/>
  <cols>
    <col min="1" max="1" width="52" customWidth="1"/>
    <col min="2" max="2" width="110" customWidth="1"/>
  </cols>
  <sheetData>
    <row r="1" spans="1:2" ht="24" customHeight="1" x14ac:dyDescent="0.3">
      <c r="A1" s="24" t="s">
        <v>49</v>
      </c>
      <c r="B1" s="21"/>
    </row>
    <row r="2" spans="1:2" x14ac:dyDescent="0.3">
      <c r="A2" s="7"/>
      <c r="B2" s="16"/>
    </row>
    <row r="3" spans="1:2" x14ac:dyDescent="0.3">
      <c r="A3" s="17" t="s">
        <v>50</v>
      </c>
      <c r="B3" s="16"/>
    </row>
    <row r="4" spans="1:2" ht="26.4" x14ac:dyDescent="0.3">
      <c r="A4" s="7" t="s">
        <v>51</v>
      </c>
      <c r="B4" s="16" t="s">
        <v>52</v>
      </c>
    </row>
    <row r="5" spans="1:2" ht="26.4" x14ac:dyDescent="0.3">
      <c r="A5" s="7" t="s">
        <v>53</v>
      </c>
      <c r="B5" s="19" t="s">
        <v>54</v>
      </c>
    </row>
    <row r="6" spans="1:2" x14ac:dyDescent="0.3">
      <c r="A6" s="7" t="s">
        <v>55</v>
      </c>
      <c r="B6" s="16" t="s">
        <v>56</v>
      </c>
    </row>
    <row r="7" spans="1:2" ht="26.4" x14ac:dyDescent="0.3">
      <c r="A7" s="7" t="s">
        <v>57</v>
      </c>
      <c r="B7" s="16" t="s">
        <v>58</v>
      </c>
    </row>
    <row r="8" spans="1:2" x14ac:dyDescent="0.3">
      <c r="A8" s="7" t="s">
        <v>59</v>
      </c>
      <c r="B8" s="16" t="s">
        <v>60</v>
      </c>
    </row>
    <row r="9" spans="1:2" x14ac:dyDescent="0.3">
      <c r="A9" s="7"/>
      <c r="B9" s="16"/>
    </row>
    <row r="10" spans="1:2" x14ac:dyDescent="0.3">
      <c r="A10" s="17" t="s">
        <v>61</v>
      </c>
      <c r="B10" s="16"/>
    </row>
    <row r="11" spans="1:2" x14ac:dyDescent="0.3">
      <c r="A11" s="7" t="s">
        <v>62</v>
      </c>
      <c r="B11" s="16" t="s">
        <v>63</v>
      </c>
    </row>
    <row r="12" spans="1:2" ht="26.4" x14ac:dyDescent="0.3">
      <c r="A12" s="7" t="s">
        <v>64</v>
      </c>
      <c r="B12" s="16" t="s">
        <v>65</v>
      </c>
    </row>
    <row r="13" spans="1:2" x14ac:dyDescent="0.3">
      <c r="A13" s="7" t="s">
        <v>66</v>
      </c>
      <c r="B13" s="16" t="s">
        <v>67</v>
      </c>
    </row>
    <row r="14" spans="1:2" ht="26.4" x14ac:dyDescent="0.3">
      <c r="A14" s="7" t="s">
        <v>68</v>
      </c>
      <c r="B14" s="16" t="s">
        <v>69</v>
      </c>
    </row>
    <row r="15" spans="1:2" x14ac:dyDescent="0.3">
      <c r="A15" s="7"/>
      <c r="B15" s="16"/>
    </row>
    <row r="16" spans="1:2" x14ac:dyDescent="0.3">
      <c r="A16" s="17" t="s">
        <v>70</v>
      </c>
      <c r="B16" s="16"/>
    </row>
    <row r="17" spans="1:2" ht="26.4" x14ac:dyDescent="0.3">
      <c r="A17" s="7" t="s">
        <v>71</v>
      </c>
      <c r="B17" s="16" t="s">
        <v>72</v>
      </c>
    </row>
    <row r="18" spans="1:2" x14ac:dyDescent="0.3">
      <c r="A18" s="7" t="s">
        <v>73</v>
      </c>
      <c r="B18" s="16" t="s">
        <v>74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09E7-6436-43FC-8978-E2E52A64193F}">
  <dimension ref="A1:H10"/>
  <sheetViews>
    <sheetView tabSelected="1" workbookViewId="0"/>
  </sheetViews>
  <sheetFormatPr defaultRowHeight="14.4" x14ac:dyDescent="0.3"/>
  <cols>
    <col min="1" max="1" width="60.77734375" customWidth="1"/>
    <col min="2" max="2" width="14.77734375" customWidth="1"/>
    <col min="3" max="3" width="16.77734375" customWidth="1"/>
    <col min="4" max="4" width="18.77734375" customWidth="1"/>
    <col min="5" max="5" width="26.77734375" customWidth="1"/>
    <col min="6" max="6" width="28.77734375" customWidth="1"/>
    <col min="7" max="7" width="16.77734375" customWidth="1"/>
    <col min="8" max="8" width="40.77734375" customWidth="1"/>
  </cols>
  <sheetData>
    <row r="1" spans="1:8" ht="17.399999999999999" x14ac:dyDescent="0.35">
      <c r="A1" s="25" t="s">
        <v>75</v>
      </c>
      <c r="B1" s="26"/>
      <c r="C1" s="26"/>
      <c r="D1" s="26"/>
      <c r="E1" s="26"/>
      <c r="F1" s="26"/>
      <c r="G1" s="26"/>
      <c r="H1" s="26"/>
    </row>
    <row r="3" spans="1:8" x14ac:dyDescent="0.3">
      <c r="A3" t="s">
        <v>76</v>
      </c>
      <c r="B3">
        <f>Facturation!B5</f>
        <v>1</v>
      </c>
    </row>
    <row r="4" spans="1:8" x14ac:dyDescent="0.3">
      <c r="A4" t="s">
        <v>77</v>
      </c>
    </row>
    <row r="5" spans="1:8" x14ac:dyDescent="0.3">
      <c r="A5" s="27" t="s">
        <v>78</v>
      </c>
      <c r="B5" s="28">
        <f>INT(B3/100)*5</f>
        <v>0</v>
      </c>
    </row>
    <row r="6" spans="1:8" x14ac:dyDescent="0.3">
      <c r="A6" t="s">
        <v>79</v>
      </c>
      <c r="B6">
        <f ca="1">COUNTIFS(A10:A509,"&gt;="&amp;DATE(YEAR(TODAY()),MONTH(TODAY()),1),A10:A509,"&lt;"&amp;DATE(YEAR(TODAY()),MONTH(TODAY())+1,1))</f>
        <v>1</v>
      </c>
    </row>
    <row r="7" spans="1:8" x14ac:dyDescent="0.3">
      <c r="A7" s="27" t="s">
        <v>80</v>
      </c>
      <c r="B7" s="27">
        <f ca="1">B5-B6</f>
        <v>-1</v>
      </c>
    </row>
    <row r="9" spans="1:8" x14ac:dyDescent="0.3">
      <c r="A9" s="29" t="s">
        <v>81</v>
      </c>
      <c r="B9" s="29" t="s">
        <v>6</v>
      </c>
      <c r="C9" s="29" t="s">
        <v>7</v>
      </c>
      <c r="D9" s="29" t="s">
        <v>9</v>
      </c>
      <c r="E9" s="29" t="s">
        <v>8</v>
      </c>
      <c r="F9" s="29" t="s">
        <v>82</v>
      </c>
      <c r="G9" s="29" t="s">
        <v>83</v>
      </c>
      <c r="H9" s="29" t="s">
        <v>84</v>
      </c>
    </row>
    <row r="10" spans="1:8" x14ac:dyDescent="0.3">
      <c r="A10" s="30">
        <v>46280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H10" t="s">
        <v>90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Registre</vt:lpstr>
      <vt:lpstr>Facturation</vt:lpstr>
      <vt:lpstr>Instructions</vt:lpstr>
      <vt:lpstr>Accès gratuits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Faviel Font</cp:lastModifiedBy>
  <dcterms:created xsi:type="dcterms:W3CDTF">2026-08-31T21:24:43Z</dcterms:created>
  <dcterms:modified xsi:type="dcterms:W3CDTF">2026-09-02T17:35:37Z</dcterms:modified>
</cp:coreProperties>
</file>