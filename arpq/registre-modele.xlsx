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e" sheetId="1" state="visible" r:id="rId1"/>
    <sheet name="Facturation" sheetId="2" state="visible" r:id="rId2"/>
    <sheet name="Instru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 $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9"/>
    </font>
    <font>
      <name val="Arial"/>
      <b val="1"/>
      <color rgb="00FFFFFF"/>
      <sz val="9"/>
    </font>
    <font>
      <name val="Arial"/>
      <sz val="10"/>
    </font>
    <font>
      <name val="Arial"/>
      <b val="1"/>
      <color rgb="00FFFFFF"/>
      <sz val="13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sz val="11"/>
    </font>
    <font>
      <name val="Arial"/>
      <b val="1"/>
      <color rgb="00FFFFFF"/>
      <sz val="12"/>
    </font>
    <font>
      <name val="Arial"/>
      <b val="1"/>
      <i val="1"/>
      <sz val="10"/>
    </font>
    <font>
      <name val="Arial"/>
      <b val="1"/>
      <color rgb="0014264A"/>
      <sz val="11"/>
    </font>
    <font/>
    <font>
      <name val="Arial"/>
      <b val="1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0014264A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CE9F7"/>
      </patternFill>
    </fill>
    <fill>
      <patternFill patternType="solid">
        <fgColor rgb="00FFFF00"/>
      </patternFill>
    </fill>
    <fill>
      <patternFill patternType="solid">
        <fgColor rgb="00F59E0B"/>
      </patternFill>
    </fill>
  </fills>
  <borders count="3">
    <border>
      <left/>
      <right/>
      <top/>
      <bottom/>
      <diagonal/>
    </border>
    <border>
      <left style="thin">
        <color rgb="00D9E0EA"/>
      </left>
      <right style="thin">
        <color rgb="00D9E0EA"/>
      </right>
      <top style="thin">
        <color rgb="00D9E0EA"/>
      </top>
      <bottom style="thin">
        <color rgb="00D9E0EA"/>
      </bottom>
    </border>
    <border/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164" fontId="4" fillId="4" borderId="1" pivotButton="0" quotePrefix="0" xfId="0"/>
    <xf numFmtId="164" fontId="4" fillId="0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5" fillId="2" borderId="0" applyAlignment="1" pivotButton="0" quotePrefix="0" xfId="0">
      <alignment horizontal="center" vertical="center"/>
    </xf>
    <xf numFmtId="0" fontId="6" fillId="0" borderId="0" pivotButton="0" quotePrefix="0" xfId="0"/>
    <xf numFmtId="165" fontId="7" fillId="6" borderId="0" pivotButton="0" quotePrefix="0" xfId="0"/>
    <xf numFmtId="0" fontId="2" fillId="0" borderId="0" pivotButton="0" quotePrefix="0" xfId="0"/>
    <xf numFmtId="0" fontId="8" fillId="0" borderId="0" pivotButton="0" quotePrefix="0" xfId="0"/>
    <xf numFmtId="165" fontId="9" fillId="7" borderId="0" pivotButton="0" quotePrefix="0" xfId="0"/>
    <xf numFmtId="0" fontId="1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165" fontId="4" fillId="0" borderId="1" pivotButton="0" quotePrefix="0" xfId="0"/>
    <xf numFmtId="0" fontId="5" fillId="2" borderId="0" pivotButton="0" quotePrefix="0" xfId="0"/>
    <xf numFmtId="0" fontId="4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0" borderId="2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22" customWidth="1" min="4" max="4"/>
    <col width="14" customWidth="1" min="5" max="5"/>
    <col width="16" customWidth="1" min="6" max="6"/>
    <col width="30" customWidth="1" min="7" max="7"/>
    <col width="15" customWidth="1" min="8" max="8"/>
    <col width="15" customWidth="1" min="9" max="9"/>
    <col width="12" customWidth="1" min="10" max="10"/>
    <col width="12" customWidth="1" min="11" max="11"/>
    <col width="14" customWidth="1" min="12" max="12"/>
    <col width="11" customWidth="1" min="13" max="13"/>
    <col width="14" customWidth="1" min="14" max="14"/>
    <col width="14" customWidth="1" min="15" max="15"/>
    <col width="28" customWidth="1" min="16" max="16"/>
  </cols>
  <sheetData>
    <row r="1" ht="28" customHeight="1">
      <c r="A1" s="1" t="inlineStr">
        <is>
          <t>TRUCK STOP SANTÉ × ARPQ — REGISTRE DES PERSONNES COUVERTES</t>
        </is>
      </c>
    </row>
    <row r="2" ht="30" customHeight="1">
      <c r="A2" s="2" t="inlineStr">
        <is>
          <t>JAUNE = rempli par l'ARPQ (ajouts et retraits) · BLEU PÂLE = rempli par la clinique (invitations, panels) · Règle : aucun nom au registre payé = aucune invitation Spruce · La ligne 4 est un EXEMPLE — la supprimer avant usage réel</t>
        </is>
      </c>
    </row>
    <row r="3" ht="30" customHeight="1">
      <c r="A3" s="3" t="inlineStr">
        <is>
          <t>#</t>
        </is>
      </c>
      <c r="B3" s="3" t="inlineStr">
        <is>
          <t>Statut</t>
        </is>
      </c>
      <c r="C3" s="3" t="inlineStr">
        <is>
          <t>Type</t>
        </is>
      </c>
      <c r="D3" s="3" t="inlineStr">
        <is>
          <t>Membre principal (si Famille)</t>
        </is>
      </c>
      <c r="E3" s="3" t="inlineStr">
        <is>
          <t>Prénom</t>
        </is>
      </c>
      <c r="F3" s="3" t="inlineStr">
        <is>
          <t>Nom</t>
        </is>
      </c>
      <c r="G3" s="3" t="inlineStr">
        <is>
          <t>Courriel</t>
        </is>
      </c>
      <c r="H3" s="3" t="inlineStr">
        <is>
          <t>Cellulaire (texto)</t>
        </is>
      </c>
      <c r="I3" s="3" t="inlineStr">
        <is>
          <t>No membre ARPQ</t>
        </is>
      </c>
      <c r="J3" s="3" t="inlineStr">
        <is>
          <t>Date d'ajout</t>
        </is>
      </c>
      <c r="K3" s="3" t="inlineStr">
        <is>
          <t>Date de retrait</t>
        </is>
      </c>
      <c r="L3" s="3" t="inlineStr">
        <is>
          <t>Fin de grâce (auto)</t>
        </is>
      </c>
      <c r="M3" s="3" t="inlineStr">
        <is>
          <t>Invité Spruce</t>
        </is>
      </c>
      <c r="N3" s="3" t="inlineStr">
        <is>
          <t>Date d'invitation</t>
        </is>
      </c>
      <c r="O3" s="3" t="inlineStr">
        <is>
          <t>Panel (médecin)</t>
        </is>
      </c>
      <c r="P3" s="3" t="inlineStr">
        <is>
          <t>Notes</t>
        </is>
      </c>
    </row>
    <row r="4">
      <c r="A4" s="4" t="n">
        <v>1</v>
      </c>
      <c r="B4" s="4" t="inlineStr">
        <is>
          <t>Actif</t>
        </is>
      </c>
      <c r="C4" s="4" t="inlineStr">
        <is>
          <t>Membre</t>
        </is>
      </c>
      <c r="D4" s="4" t="inlineStr"/>
      <c r="E4" s="4" t="inlineStr">
        <is>
          <t>Jean</t>
        </is>
      </c>
      <c r="F4" s="4" t="inlineStr">
        <is>
          <t>Tremblay</t>
        </is>
      </c>
      <c r="G4" s="4" t="inlineStr">
        <is>
          <t>jean.tremblay@exemple.com</t>
        </is>
      </c>
      <c r="H4" s="4" t="inlineStr">
        <is>
          <t>514 555-0199</t>
        </is>
      </c>
      <c r="I4" s="4" t="inlineStr">
        <is>
          <t>ARPQ-00123</t>
        </is>
      </c>
      <c r="J4" s="5" t="inlineStr">
        <is>
          <t>2026-09-15</t>
        </is>
      </c>
      <c r="K4" s="5" t="inlineStr"/>
      <c r="L4" s="6">
        <f>IF($K4="","",$K4+90)</f>
        <v/>
      </c>
      <c r="M4" s="7" t="inlineStr">
        <is>
          <t>Oui</t>
        </is>
      </c>
      <c r="N4" s="8" t="inlineStr">
        <is>
          <t>2026-09-16</t>
        </is>
      </c>
      <c r="O4" s="7" t="inlineStr">
        <is>
          <t>Dr Font</t>
        </is>
      </c>
      <c r="P4" s="7" t="inlineStr">
        <is>
          <t>EXEMPLE — supprimer cette ligne</t>
        </is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5" t="n"/>
      <c r="K5" s="5" t="n"/>
      <c r="L5" s="6">
        <f>IF($K5="","",$K5+90)</f>
        <v/>
      </c>
      <c r="M5" s="7" t="n"/>
      <c r="N5" s="8" t="n"/>
      <c r="O5" s="7" t="n"/>
      <c r="P5" s="7" t="inlineStr">
        <is>
          <t>Astuce : sélectionnez la ligne 5 au complet et glissez vers le bas pour étendre couleurs et formule « Fin de grâce ».</t>
        </is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5" t="n"/>
      <c r="K6" s="5" t="n"/>
      <c r="L6" s="6">
        <f>IF($K6="","",$K6+90)</f>
        <v/>
      </c>
      <c r="M6" s="7" t="n"/>
      <c r="N6" s="8" t="n"/>
      <c r="O6" s="7" t="n"/>
      <c r="P6" s="7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5" t="n"/>
      <c r="K7" s="5" t="n"/>
      <c r="L7" s="6">
        <f>IF($K7="","",$K7+90)</f>
        <v/>
      </c>
      <c r="M7" s="7" t="n"/>
      <c r="N7" s="8" t="n"/>
      <c r="O7" s="7" t="n"/>
      <c r="P7" s="7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5" t="n"/>
      <c r="K8" s="5" t="n"/>
      <c r="L8" s="6">
        <f>IF($K8="","",$K8+90)</f>
        <v/>
      </c>
      <c r="M8" s="7" t="n"/>
      <c r="N8" s="8" t="n"/>
      <c r="O8" s="7" t="n"/>
      <c r="P8" s="7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5" t="n"/>
      <c r="K9" s="5" t="n"/>
      <c r="L9" s="6">
        <f>IF($K9="","",$K9+90)</f>
        <v/>
      </c>
      <c r="M9" s="7" t="n"/>
      <c r="N9" s="8" t="n"/>
      <c r="O9" s="7" t="n"/>
      <c r="P9" s="7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5" t="n"/>
      <c r="K10" s="5" t="n"/>
      <c r="L10" s="6">
        <f>IF($K10="","",$K10+90)</f>
        <v/>
      </c>
      <c r="M10" s="7" t="n"/>
      <c r="N10" s="8" t="n"/>
      <c r="O10" s="7" t="n"/>
      <c r="P10" s="7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5" t="n"/>
      <c r="K11" s="5" t="n"/>
      <c r="L11" s="6">
        <f>IF($K11="","",$K11+90)</f>
        <v/>
      </c>
      <c r="M11" s="7" t="n"/>
      <c r="N11" s="8" t="n"/>
      <c r="O11" s="7" t="n"/>
      <c r="P11" s="7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5" t="n"/>
      <c r="K12" s="5" t="n"/>
      <c r="L12" s="6">
        <f>IF($K12="","",$K12+90)</f>
        <v/>
      </c>
      <c r="M12" s="7" t="n"/>
      <c r="N12" s="8" t="n"/>
      <c r="O12" s="7" t="n"/>
      <c r="P12" s="7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5" t="n"/>
      <c r="K13" s="5" t="n"/>
      <c r="L13" s="6">
        <f>IF($K13="","",$K13+90)</f>
        <v/>
      </c>
      <c r="M13" s="7" t="n"/>
      <c r="N13" s="8" t="n"/>
      <c r="O13" s="7" t="n"/>
      <c r="P13" s="7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5" t="n"/>
      <c r="K14" s="5" t="n"/>
      <c r="L14" s="6">
        <f>IF($K14="","",$K14+90)</f>
        <v/>
      </c>
      <c r="M14" s="7" t="n"/>
      <c r="N14" s="8" t="n"/>
      <c r="O14" s="7" t="n"/>
      <c r="P14" s="7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5" t="n"/>
      <c r="K15" s="5" t="n"/>
      <c r="L15" s="6">
        <f>IF($K15="","",$K15+90)</f>
        <v/>
      </c>
      <c r="M15" s="7" t="n"/>
      <c r="N15" s="8" t="n"/>
      <c r="O15" s="7" t="n"/>
      <c r="P15" s="7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5" t="n"/>
      <c r="K16" s="5" t="n"/>
      <c r="L16" s="6">
        <f>IF($K16="","",$K16+90)</f>
        <v/>
      </c>
      <c r="M16" s="7" t="n"/>
      <c r="N16" s="8" t="n"/>
      <c r="O16" s="7" t="n"/>
      <c r="P16" s="7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5" t="n"/>
      <c r="K17" s="5" t="n"/>
      <c r="L17" s="6">
        <f>IF($K17="","",$K17+90)</f>
        <v/>
      </c>
      <c r="M17" s="7" t="n"/>
      <c r="N17" s="8" t="n"/>
      <c r="O17" s="7" t="n"/>
      <c r="P17" s="7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5" t="n"/>
      <c r="K18" s="5" t="n"/>
      <c r="L18" s="6">
        <f>IF($K18="","",$K18+90)</f>
        <v/>
      </c>
      <c r="M18" s="7" t="n"/>
      <c r="N18" s="8" t="n"/>
      <c r="O18" s="7" t="n"/>
      <c r="P18" s="7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5" t="n"/>
      <c r="K19" s="5" t="n"/>
      <c r="L19" s="6">
        <f>IF($K19="","",$K19+90)</f>
        <v/>
      </c>
      <c r="M19" s="7" t="n"/>
      <c r="N19" s="8" t="n"/>
      <c r="O19" s="7" t="n"/>
      <c r="P19" s="7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5" t="n"/>
      <c r="K20" s="5" t="n"/>
      <c r="L20" s="6">
        <f>IF($K20="","",$K20+90)</f>
        <v/>
      </c>
      <c r="M20" s="7" t="n"/>
      <c r="N20" s="8" t="n"/>
      <c r="O20" s="7" t="n"/>
      <c r="P20" s="7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5" t="n"/>
      <c r="K21" s="5" t="n"/>
      <c r="L21" s="6">
        <f>IF($K21="","",$K21+90)</f>
        <v/>
      </c>
      <c r="M21" s="7" t="n"/>
      <c r="N21" s="8" t="n"/>
      <c r="O21" s="7" t="n"/>
      <c r="P21" s="7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5" t="n"/>
      <c r="K22" s="5" t="n"/>
      <c r="L22" s="6">
        <f>IF($K22="","",$K22+90)</f>
        <v/>
      </c>
      <c r="M22" s="7" t="n"/>
      <c r="N22" s="8" t="n"/>
      <c r="O22" s="7" t="n"/>
      <c r="P22" s="7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5" t="n"/>
      <c r="K23" s="5" t="n"/>
      <c r="L23" s="6">
        <f>IF($K23="","",$K23+90)</f>
        <v/>
      </c>
      <c r="M23" s="7" t="n"/>
      <c r="N23" s="8" t="n"/>
      <c r="O23" s="7" t="n"/>
      <c r="P23" s="7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5" t="n"/>
      <c r="K24" s="5" t="n"/>
      <c r="L24" s="6">
        <f>IF($K24="","",$K24+90)</f>
        <v/>
      </c>
      <c r="M24" s="7" t="n"/>
      <c r="N24" s="8" t="n"/>
      <c r="O24" s="7" t="n"/>
      <c r="P24" s="7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5" t="n"/>
      <c r="K25" s="5" t="n"/>
      <c r="L25" s="6">
        <f>IF($K25="","",$K25+90)</f>
        <v/>
      </c>
      <c r="M25" s="7" t="n"/>
      <c r="N25" s="8" t="n"/>
      <c r="O25" s="7" t="n"/>
      <c r="P25" s="7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5" t="n"/>
      <c r="K26" s="5" t="n"/>
      <c r="L26" s="6">
        <f>IF($K26="","",$K26+90)</f>
        <v/>
      </c>
      <c r="M26" s="7" t="n"/>
      <c r="N26" s="8" t="n"/>
      <c r="O26" s="7" t="n"/>
      <c r="P26" s="7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5" t="n"/>
      <c r="K27" s="5" t="n"/>
      <c r="L27" s="6">
        <f>IF($K27="","",$K27+90)</f>
        <v/>
      </c>
      <c r="M27" s="7" t="n"/>
      <c r="N27" s="8" t="n"/>
      <c r="O27" s="7" t="n"/>
      <c r="P27" s="7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5" t="n"/>
      <c r="K28" s="5" t="n"/>
      <c r="L28" s="6">
        <f>IF($K28="","",$K28+90)</f>
        <v/>
      </c>
      <c r="M28" s="7" t="n"/>
      <c r="N28" s="8" t="n"/>
      <c r="O28" s="7" t="n"/>
      <c r="P28" s="7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5" t="n"/>
      <c r="K29" s="5" t="n"/>
      <c r="L29" s="6">
        <f>IF($K29="","",$K29+90)</f>
        <v/>
      </c>
      <c r="M29" s="7" t="n"/>
      <c r="N29" s="8" t="n"/>
      <c r="O29" s="7" t="n"/>
      <c r="P29" s="7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5" t="n"/>
      <c r="K30" s="5" t="n"/>
      <c r="L30" s="6">
        <f>IF($K30="","",$K30+90)</f>
        <v/>
      </c>
      <c r="M30" s="7" t="n"/>
      <c r="N30" s="8" t="n"/>
      <c r="O30" s="7" t="n"/>
      <c r="P30" s="7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5" t="n"/>
      <c r="K31" s="5" t="n"/>
      <c r="L31" s="6">
        <f>IF($K31="","",$K31+90)</f>
        <v/>
      </c>
      <c r="M31" s="7" t="n"/>
      <c r="N31" s="8" t="n"/>
      <c r="O31" s="7" t="n"/>
      <c r="P31" s="7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5" t="n"/>
      <c r="K32" s="5" t="n"/>
      <c r="L32" s="6">
        <f>IF($K32="","",$K32+90)</f>
        <v/>
      </c>
      <c r="M32" s="7" t="n"/>
      <c r="N32" s="8" t="n"/>
      <c r="O32" s="7" t="n"/>
      <c r="P32" s="7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5" t="n"/>
      <c r="K33" s="5" t="n"/>
      <c r="L33" s="6">
        <f>IF($K33="","",$K33+90)</f>
        <v/>
      </c>
      <c r="M33" s="7" t="n"/>
      <c r="N33" s="8" t="n"/>
      <c r="O33" s="7" t="n"/>
      <c r="P33" s="7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5" t="n"/>
      <c r="K34" s="5" t="n"/>
      <c r="L34" s="6">
        <f>IF($K34="","",$K34+90)</f>
        <v/>
      </c>
      <c r="M34" s="7" t="n"/>
      <c r="N34" s="8" t="n"/>
      <c r="O34" s="7" t="n"/>
      <c r="P34" s="7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5" t="n"/>
      <c r="K35" s="5" t="n"/>
      <c r="L35" s="6">
        <f>IF($K35="","",$K35+90)</f>
        <v/>
      </c>
      <c r="M35" s="7" t="n"/>
      <c r="N35" s="8" t="n"/>
      <c r="O35" s="7" t="n"/>
      <c r="P35" s="7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5" t="n"/>
      <c r="K36" s="5" t="n"/>
      <c r="L36" s="6">
        <f>IF($K36="","",$K36+90)</f>
        <v/>
      </c>
      <c r="M36" s="7" t="n"/>
      <c r="N36" s="8" t="n"/>
      <c r="O36" s="7" t="n"/>
      <c r="P36" s="7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5" t="n"/>
      <c r="K37" s="5" t="n"/>
      <c r="L37" s="6">
        <f>IF($K37="","",$K37+90)</f>
        <v/>
      </c>
      <c r="M37" s="7" t="n"/>
      <c r="N37" s="8" t="n"/>
      <c r="O37" s="7" t="n"/>
      <c r="P37" s="7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5" t="n"/>
      <c r="K38" s="5" t="n"/>
      <c r="L38" s="6">
        <f>IF($K38="","",$K38+90)</f>
        <v/>
      </c>
      <c r="M38" s="7" t="n"/>
      <c r="N38" s="8" t="n"/>
      <c r="O38" s="7" t="n"/>
      <c r="P38" s="7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5" t="n"/>
      <c r="K39" s="5" t="n"/>
      <c r="L39" s="6">
        <f>IF($K39="","",$K39+90)</f>
        <v/>
      </c>
      <c r="M39" s="7" t="n"/>
      <c r="N39" s="8" t="n"/>
      <c r="O39" s="7" t="n"/>
      <c r="P39" s="7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5" t="n"/>
      <c r="K40" s="5" t="n"/>
      <c r="L40" s="6">
        <f>IF($K40="","",$K40+90)</f>
        <v/>
      </c>
      <c r="M40" s="7" t="n"/>
      <c r="N40" s="8" t="n"/>
      <c r="O40" s="7" t="n"/>
      <c r="P40" s="7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5" t="n"/>
      <c r="K41" s="5" t="n"/>
      <c r="L41" s="6">
        <f>IF($K41="","",$K41+90)</f>
        <v/>
      </c>
      <c r="M41" s="7" t="n"/>
      <c r="N41" s="8" t="n"/>
      <c r="O41" s="7" t="n"/>
      <c r="P41" s="7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5" t="n"/>
      <c r="K42" s="5" t="n"/>
      <c r="L42" s="6">
        <f>IF($K42="","",$K42+90)</f>
        <v/>
      </c>
      <c r="M42" s="7" t="n"/>
      <c r="N42" s="8" t="n"/>
      <c r="O42" s="7" t="n"/>
      <c r="P42" s="7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5" t="n"/>
      <c r="K43" s="5" t="n"/>
      <c r="L43" s="6">
        <f>IF($K43="","",$K43+90)</f>
        <v/>
      </c>
      <c r="M43" s="7" t="n"/>
      <c r="N43" s="8" t="n"/>
      <c r="O43" s="7" t="n"/>
      <c r="P43" s="7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5" t="n"/>
      <c r="K44" s="5" t="n"/>
      <c r="L44" s="6">
        <f>IF($K44="","",$K44+90)</f>
        <v/>
      </c>
      <c r="M44" s="7" t="n"/>
      <c r="N44" s="8" t="n"/>
      <c r="O44" s="7" t="n"/>
      <c r="P44" s="7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5" t="n"/>
      <c r="K45" s="5" t="n"/>
      <c r="L45" s="6">
        <f>IF($K45="","",$K45+90)</f>
        <v/>
      </c>
      <c r="M45" s="7" t="n"/>
      <c r="N45" s="8" t="n"/>
      <c r="O45" s="7" t="n"/>
      <c r="P45" s="7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5" t="n"/>
      <c r="K46" s="5" t="n"/>
      <c r="L46" s="6">
        <f>IF($K46="","",$K46+90)</f>
        <v/>
      </c>
      <c r="M46" s="7" t="n"/>
      <c r="N46" s="8" t="n"/>
      <c r="O46" s="7" t="n"/>
      <c r="P46" s="7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5" t="n"/>
      <c r="K47" s="5" t="n"/>
      <c r="L47" s="6">
        <f>IF($K47="","",$K47+90)</f>
        <v/>
      </c>
      <c r="M47" s="7" t="n"/>
      <c r="N47" s="8" t="n"/>
      <c r="O47" s="7" t="n"/>
      <c r="P47" s="7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5" t="n"/>
      <c r="K48" s="5" t="n"/>
      <c r="L48" s="6">
        <f>IF($K48="","",$K48+90)</f>
        <v/>
      </c>
      <c r="M48" s="7" t="n"/>
      <c r="N48" s="8" t="n"/>
      <c r="O48" s="7" t="n"/>
      <c r="P48" s="7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5" t="n"/>
      <c r="K49" s="5" t="n"/>
      <c r="L49" s="6">
        <f>IF($K49="","",$K49+90)</f>
        <v/>
      </c>
      <c r="M49" s="7" t="n"/>
      <c r="N49" s="8" t="n"/>
      <c r="O49" s="7" t="n"/>
      <c r="P49" s="7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5" t="n"/>
      <c r="K50" s="5" t="n"/>
      <c r="L50" s="6">
        <f>IF($K50="","",$K50+90)</f>
        <v/>
      </c>
      <c r="M50" s="7" t="n"/>
      <c r="N50" s="8" t="n"/>
      <c r="O50" s="7" t="n"/>
      <c r="P50" s="7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5" t="n"/>
      <c r="K51" s="5" t="n"/>
      <c r="L51" s="6">
        <f>IF($K51="","",$K51+90)</f>
        <v/>
      </c>
      <c r="M51" s="7" t="n"/>
      <c r="N51" s="8" t="n"/>
      <c r="O51" s="7" t="n"/>
      <c r="P51" s="7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5" t="n"/>
      <c r="K52" s="5" t="n"/>
      <c r="L52" s="6">
        <f>IF($K52="","",$K52+90)</f>
        <v/>
      </c>
      <c r="M52" s="7" t="n"/>
      <c r="N52" s="8" t="n"/>
      <c r="O52" s="7" t="n"/>
      <c r="P52" s="7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5" t="n"/>
      <c r="K53" s="5" t="n"/>
      <c r="L53" s="6">
        <f>IF($K53="","",$K53+90)</f>
        <v/>
      </c>
      <c r="M53" s="7" t="n"/>
      <c r="N53" s="8" t="n"/>
      <c r="O53" s="7" t="n"/>
      <c r="P53" s="7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5" t="n"/>
      <c r="K54" s="5" t="n"/>
      <c r="L54" s="6">
        <f>IF($K54="","",$K54+90)</f>
        <v/>
      </c>
      <c r="M54" s="7" t="n"/>
      <c r="N54" s="8" t="n"/>
      <c r="O54" s="7" t="n"/>
      <c r="P54" s="7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5" t="n"/>
      <c r="K55" s="5" t="n"/>
      <c r="L55" s="6">
        <f>IF($K55="","",$K55+90)</f>
        <v/>
      </c>
      <c r="M55" s="7" t="n"/>
      <c r="N55" s="8" t="n"/>
      <c r="O55" s="7" t="n"/>
      <c r="P55" s="7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5" t="n"/>
      <c r="K56" s="5" t="n"/>
      <c r="L56" s="6">
        <f>IF($K56="","",$K56+90)</f>
        <v/>
      </c>
      <c r="M56" s="7" t="n"/>
      <c r="N56" s="8" t="n"/>
      <c r="O56" s="7" t="n"/>
      <c r="P56" s="7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5" t="n"/>
      <c r="K57" s="5" t="n"/>
      <c r="L57" s="6">
        <f>IF($K57="","",$K57+90)</f>
        <v/>
      </c>
      <c r="M57" s="7" t="n"/>
      <c r="N57" s="8" t="n"/>
      <c r="O57" s="7" t="n"/>
      <c r="P57" s="7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5" t="n"/>
      <c r="K58" s="5" t="n"/>
      <c r="L58" s="6">
        <f>IF($K58="","",$K58+90)</f>
        <v/>
      </c>
      <c r="M58" s="7" t="n"/>
      <c r="N58" s="8" t="n"/>
      <c r="O58" s="7" t="n"/>
      <c r="P58" s="7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5" t="n"/>
      <c r="K59" s="5" t="n"/>
      <c r="L59" s="6">
        <f>IF($K59="","",$K59+90)</f>
        <v/>
      </c>
      <c r="M59" s="7" t="n"/>
      <c r="N59" s="8" t="n"/>
      <c r="O59" s="7" t="n"/>
      <c r="P59" s="7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5" t="n"/>
      <c r="K60" s="5" t="n"/>
      <c r="L60" s="6">
        <f>IF($K60="","",$K60+90)</f>
        <v/>
      </c>
      <c r="M60" s="7" t="n"/>
      <c r="N60" s="8" t="n"/>
      <c r="O60" s="7" t="n"/>
      <c r="P60" s="7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5" t="n"/>
      <c r="K61" s="5" t="n"/>
      <c r="L61" s="6">
        <f>IF($K61="","",$K61+90)</f>
        <v/>
      </c>
      <c r="M61" s="7" t="n"/>
      <c r="N61" s="8" t="n"/>
      <c r="O61" s="7" t="n"/>
      <c r="P61" s="7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5" t="n"/>
      <c r="K62" s="5" t="n"/>
      <c r="L62" s="6">
        <f>IF($K62="","",$K62+90)</f>
        <v/>
      </c>
      <c r="M62" s="7" t="n"/>
      <c r="N62" s="8" t="n"/>
      <c r="O62" s="7" t="n"/>
      <c r="P62" s="7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5" t="n"/>
      <c r="K63" s="5" t="n"/>
      <c r="L63" s="6">
        <f>IF($K63="","",$K63+90)</f>
        <v/>
      </c>
      <c r="M63" s="7" t="n"/>
      <c r="N63" s="8" t="n"/>
      <c r="O63" s="7" t="n"/>
      <c r="P63" s="7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</row>
    <row r="66">
      <c r="A66" s="22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</row>
    <row r="67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</row>
    <row r="68">
      <c r="A68" s="22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</row>
    <row r="69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</row>
    <row r="70">
      <c r="A70" s="22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</row>
    <row r="7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</row>
    <row r="72">
      <c r="A72" s="22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</row>
    <row r="73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</row>
    <row r="74">
      <c r="A74" s="22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</row>
    <row r="75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</row>
    <row r="76">
      <c r="A76" s="22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</row>
    <row r="77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</row>
    <row r="78">
      <c r="A78" s="22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</row>
    <row r="79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</row>
    <row r="80">
      <c r="A80" s="22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</row>
    <row r="8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</row>
    <row r="82">
      <c r="A82" s="22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</row>
    <row r="83">
      <c r="A83" s="22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</row>
    <row r="84">
      <c r="A84" s="22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</row>
    <row r="85">
      <c r="A85" s="22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</row>
    <row r="86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</row>
    <row r="87">
      <c r="A87" s="22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</row>
    <row r="88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</row>
    <row r="89">
      <c r="A89" s="22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</row>
    <row r="90">
      <c r="A90" s="22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</row>
    <row r="91">
      <c r="A91" s="22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</row>
    <row r="92">
      <c r="A92" s="22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</row>
    <row r="93">
      <c r="A93" s="22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</row>
    <row r="94">
      <c r="A94" s="22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</row>
    <row r="95">
      <c r="A95" s="22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</row>
    <row r="96">
      <c r="A96" s="22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</row>
    <row r="97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</row>
    <row r="98">
      <c r="A98" s="22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</row>
    <row r="99">
      <c r="A99" s="22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</row>
    <row r="100">
      <c r="A100" s="22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</row>
    <row r="101">
      <c r="A101" s="22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</row>
    <row r="102">
      <c r="A102" s="22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</row>
    <row r="103">
      <c r="A103" s="22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</row>
    <row r="104">
      <c r="A104" s="22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</row>
    <row r="105">
      <c r="A105" s="22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</row>
    <row r="106">
      <c r="A106" s="22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</row>
    <row r="107">
      <c r="A107" s="22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</row>
    <row r="108">
      <c r="A108" s="22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</row>
    <row r="109">
      <c r="A109" s="22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</row>
    <row r="110">
      <c r="A110" s="22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</row>
    <row r="111">
      <c r="A111" s="22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</row>
    <row r="112">
      <c r="A112" s="22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</row>
    <row r="113">
      <c r="A113" s="22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</row>
    <row r="114">
      <c r="A114" s="22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</row>
    <row r="115">
      <c r="A115" s="22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</row>
    <row r="116">
      <c r="A116" s="22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</row>
    <row r="117">
      <c r="A117" s="22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</row>
    <row r="118">
      <c r="A118" s="22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</row>
    <row r="119">
      <c r="A119" s="22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</row>
    <row r="120">
      <c r="A120" s="22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</row>
    <row r="121">
      <c r="A121" s="22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</row>
    <row r="122">
      <c r="A122" s="22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</row>
    <row r="123">
      <c r="A123" s="22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</row>
    <row r="124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</row>
    <row r="125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</row>
    <row r="126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</row>
    <row r="127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</row>
    <row r="128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</row>
    <row r="129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</row>
    <row r="130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</row>
    <row r="13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</row>
    <row r="132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</row>
    <row r="133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</row>
    <row r="134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</row>
    <row r="135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</row>
    <row r="136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</row>
    <row r="137">
      <c r="A137" s="22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</row>
    <row r="138">
      <c r="A138" s="22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</row>
    <row r="139">
      <c r="A139" s="22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</row>
    <row r="140">
      <c r="A140" s="22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</row>
    <row r="141">
      <c r="A141" s="22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</row>
    <row r="142">
      <c r="A142" s="22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</row>
    <row r="143">
      <c r="A143" s="22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</row>
    <row r="144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</row>
    <row r="145">
      <c r="A145" s="22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</row>
    <row r="146">
      <c r="A146" s="22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</row>
    <row r="147">
      <c r="A147" s="22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</row>
    <row r="148">
      <c r="A148" s="22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</row>
    <row r="149">
      <c r="A149" s="22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</row>
    <row r="150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</row>
    <row r="151">
      <c r="A151" s="22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</row>
    <row r="152">
      <c r="A152" s="22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</row>
    <row r="153">
      <c r="A153" s="22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</row>
    <row r="154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</row>
    <row r="155">
      <c r="A155" s="22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</row>
    <row r="156">
      <c r="A156" s="22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</row>
    <row r="157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</row>
    <row r="158">
      <c r="A158" s="22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</row>
    <row r="159">
      <c r="A159" s="22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</row>
    <row r="160">
      <c r="A160" s="22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</row>
    <row r="161">
      <c r="A161" s="22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</row>
    <row r="162">
      <c r="A162" s="22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</row>
    <row r="163">
      <c r="A163" s="22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</row>
    <row r="164">
      <c r="A164" s="22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</row>
    <row r="165">
      <c r="A165" s="22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</row>
    <row r="166">
      <c r="A166" s="22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</row>
    <row r="167">
      <c r="A167" s="22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</row>
    <row r="168">
      <c r="A168" s="22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</row>
    <row r="169">
      <c r="A169" s="22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</row>
    <row r="170">
      <c r="A170" s="22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</row>
    <row r="171">
      <c r="A171" s="22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</row>
    <row r="172">
      <c r="A172" s="22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</row>
    <row r="173">
      <c r="A173" s="22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</row>
    <row r="174">
      <c r="A174" s="22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</row>
    <row r="175">
      <c r="A175" s="22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</row>
    <row r="176">
      <c r="A176" s="22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</row>
    <row r="177">
      <c r="A177" s="22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</row>
    <row r="178">
      <c r="A178" s="22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</row>
    <row r="179">
      <c r="A179" s="22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</row>
    <row r="180">
      <c r="A180" s="22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</row>
    <row r="181">
      <c r="A181" s="22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</row>
    <row r="182">
      <c r="A182" s="22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</row>
    <row r="183">
      <c r="A183" s="22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</row>
    <row r="184">
      <c r="A184" s="22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</row>
    <row r="185">
      <c r="A185" s="22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</row>
    <row r="186">
      <c r="A186" s="22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</row>
    <row r="187">
      <c r="A187" s="22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</row>
    <row r="188">
      <c r="A188" s="22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</row>
    <row r="189">
      <c r="A189" s="22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</row>
    <row r="190">
      <c r="A190" s="22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</row>
    <row r="191">
      <c r="A191" s="22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</row>
    <row r="192">
      <c r="A192" s="22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</row>
    <row r="193">
      <c r="A193" s="22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</row>
    <row r="194">
      <c r="A194" s="22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</row>
    <row r="195">
      <c r="A195" s="22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</row>
    <row r="196">
      <c r="A196" s="22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</row>
    <row r="197">
      <c r="A197" s="22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</row>
    <row r="198">
      <c r="A198" s="22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</row>
    <row r="199">
      <c r="A199" s="22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</row>
    <row r="200">
      <c r="A200" s="22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</row>
    <row r="201">
      <c r="A201" s="22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</row>
    <row r="202">
      <c r="A202" s="22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</row>
    <row r="203">
      <c r="A203" s="22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</row>
    <row r="204">
      <c r="A204" s="22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</row>
    <row r="205">
      <c r="A205" s="22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</row>
    <row r="206">
      <c r="A206" s="22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</row>
    <row r="207">
      <c r="A207" s="22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</row>
    <row r="208">
      <c r="A208" s="22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</row>
    <row r="209">
      <c r="A209" s="22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</row>
    <row r="210">
      <c r="A210" s="22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</row>
    <row r="211">
      <c r="A211" s="22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</row>
    <row r="212">
      <c r="A212" s="22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</row>
    <row r="213">
      <c r="A213" s="22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</row>
    <row r="214">
      <c r="A214" s="22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</row>
    <row r="215">
      <c r="A215" s="22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</row>
    <row r="216">
      <c r="A216" s="22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</row>
    <row r="217">
      <c r="A217" s="22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</row>
    <row r="218">
      <c r="A218" s="22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</row>
    <row r="219">
      <c r="A219" s="22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</row>
    <row r="220">
      <c r="A220" s="22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</row>
    <row r="221">
      <c r="A221" s="22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</row>
    <row r="222">
      <c r="A222" s="22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</row>
    <row r="223">
      <c r="A223" s="22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</row>
    <row r="224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</row>
    <row r="225">
      <c r="A225" s="22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</row>
    <row r="226">
      <c r="A226" s="22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</row>
    <row r="227">
      <c r="A227" s="22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</row>
    <row r="228">
      <c r="A228" s="22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</row>
    <row r="229">
      <c r="A229" s="22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</row>
    <row r="230">
      <c r="A230" s="22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</row>
    <row r="231">
      <c r="A231" s="22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</row>
    <row r="232">
      <c r="A232" s="22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</row>
    <row r="233">
      <c r="A233" s="22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</row>
    <row r="234">
      <c r="A234" s="22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</row>
    <row r="235">
      <c r="A235" s="22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</row>
    <row r="236">
      <c r="A236" s="22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</row>
    <row r="237">
      <c r="A237" s="22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</row>
    <row r="238">
      <c r="A238" s="22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</row>
    <row r="239">
      <c r="A239" s="22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</row>
    <row r="240">
      <c r="A240" s="22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</row>
    <row r="241">
      <c r="A241" s="22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</row>
    <row r="242">
      <c r="A242" s="22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</row>
    <row r="243">
      <c r="A243" s="22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</row>
    <row r="244">
      <c r="A244" s="22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</row>
    <row r="245">
      <c r="A245" s="22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</row>
    <row r="246">
      <c r="A246" s="22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</row>
    <row r="247">
      <c r="A247" s="22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</row>
    <row r="248">
      <c r="A248" s="22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</row>
    <row r="249">
      <c r="A249" s="22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</row>
    <row r="250">
      <c r="A250" s="22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</row>
    <row r="25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</row>
    <row r="252">
      <c r="A252" s="22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</row>
    <row r="253">
      <c r="A253" s="22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</row>
    <row r="254">
      <c r="A254" s="22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</row>
    <row r="255">
      <c r="A255" s="22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</row>
    <row r="256">
      <c r="A256" s="22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</row>
    <row r="257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</row>
    <row r="258">
      <c r="A258" s="22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</row>
    <row r="259">
      <c r="A259" s="22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</row>
    <row r="260">
      <c r="A260" s="22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</row>
    <row r="261">
      <c r="A261" s="22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</row>
    <row r="262">
      <c r="A262" s="22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</row>
    <row r="263">
      <c r="A263" s="22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</row>
    <row r="264">
      <c r="A264" s="22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</row>
    <row r="265">
      <c r="A265" s="22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</row>
    <row r="266">
      <c r="A266" s="22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</row>
    <row r="267">
      <c r="A267" s="22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</row>
    <row r="268">
      <c r="A268" s="22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</row>
    <row r="269">
      <c r="A269" s="22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</row>
    <row r="270">
      <c r="A270" s="22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</row>
    <row r="271">
      <c r="A271" s="22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</row>
    <row r="272">
      <c r="A272" s="22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</row>
    <row r="273">
      <c r="A273" s="22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</row>
    <row r="274">
      <c r="A274" s="22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</row>
    <row r="275">
      <c r="A275" s="22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</row>
    <row r="276">
      <c r="A276" s="22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</row>
    <row r="277">
      <c r="A277" s="22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</row>
    <row r="278">
      <c r="A278" s="22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</row>
    <row r="279">
      <c r="A279" s="22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</row>
    <row r="280">
      <c r="A280" s="22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</row>
    <row r="281">
      <c r="A281" s="22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</row>
    <row r="282">
      <c r="A282" s="22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</row>
    <row r="283">
      <c r="A283" s="22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</row>
    <row r="284">
      <c r="A284" s="22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</row>
    <row r="285">
      <c r="A285" s="22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</row>
    <row r="286">
      <c r="A286" s="22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</row>
    <row r="287">
      <c r="A287" s="22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</row>
    <row r="288">
      <c r="A288" s="22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</row>
    <row r="289">
      <c r="A289" s="22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</row>
    <row r="290">
      <c r="A290" s="22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</row>
    <row r="291">
      <c r="A291" s="22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</row>
    <row r="292">
      <c r="A292" s="22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</row>
    <row r="293">
      <c r="A293" s="22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</row>
    <row r="294">
      <c r="A294" s="22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</row>
    <row r="295">
      <c r="A295" s="22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</row>
    <row r="296">
      <c r="A296" s="22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</row>
    <row r="297">
      <c r="A297" s="22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</row>
    <row r="298">
      <c r="A298" s="22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</row>
    <row r="299">
      <c r="A299" s="22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</row>
    <row r="300">
      <c r="A300" s="22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</row>
    <row r="301">
      <c r="A301" s="22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</row>
    <row r="302">
      <c r="A302" s="22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</row>
    <row r="303">
      <c r="A303" s="22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</row>
    <row r="304">
      <c r="A304" s="22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</row>
    <row r="305">
      <c r="A305" s="22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</row>
    <row r="306">
      <c r="A306" s="22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</row>
    <row r="307">
      <c r="A307" s="22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</row>
    <row r="308">
      <c r="A308" s="22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</row>
    <row r="309">
      <c r="A309" s="22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</row>
    <row r="310">
      <c r="A310" s="22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</row>
    <row r="311">
      <c r="A311" s="22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</row>
    <row r="312">
      <c r="A312" s="22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</row>
    <row r="313">
      <c r="A313" s="22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</row>
    <row r="314">
      <c r="A314" s="22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</row>
    <row r="315">
      <c r="A315" s="22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</row>
    <row r="316">
      <c r="A316" s="22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</row>
    <row r="317">
      <c r="A317" s="22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</row>
    <row r="318">
      <c r="A318" s="22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</row>
    <row r="319">
      <c r="A319" s="22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</row>
    <row r="320">
      <c r="A320" s="22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</row>
    <row r="321">
      <c r="A321" s="22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</row>
    <row r="322">
      <c r="A322" s="22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</row>
    <row r="323">
      <c r="A323" s="22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</row>
    <row r="324">
      <c r="A324" s="22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</row>
    <row r="325">
      <c r="A325" s="22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</row>
    <row r="326">
      <c r="A326" s="22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</row>
    <row r="327">
      <c r="A327" s="22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</row>
    <row r="328">
      <c r="A328" s="22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</row>
    <row r="329">
      <c r="A329" s="22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</row>
    <row r="330">
      <c r="A330" s="22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</row>
    <row r="331">
      <c r="A331" s="22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</row>
    <row r="332">
      <c r="A332" s="22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</row>
    <row r="333">
      <c r="A333" s="22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</row>
    <row r="334">
      <c r="A334" s="22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</row>
    <row r="335">
      <c r="A335" s="22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</row>
    <row r="336">
      <c r="A336" s="22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</row>
    <row r="337">
      <c r="A337" s="22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</row>
    <row r="338">
      <c r="A338" s="22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</row>
    <row r="339">
      <c r="A339" s="22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</row>
    <row r="340">
      <c r="A340" s="22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</row>
    <row r="341">
      <c r="A341" s="22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</row>
    <row r="342">
      <c r="A342" s="22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</row>
    <row r="343">
      <c r="A343" s="22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</row>
    <row r="344">
      <c r="A344" s="22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</row>
    <row r="345">
      <c r="A345" s="22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</row>
    <row r="346">
      <c r="A346" s="22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</row>
    <row r="347">
      <c r="A347" s="22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</row>
    <row r="348">
      <c r="A348" s="22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</row>
    <row r="349">
      <c r="A349" s="22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</row>
    <row r="350">
      <c r="A350" s="22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</row>
    <row r="351">
      <c r="A351" s="22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</row>
    <row r="352">
      <c r="A352" s="22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</row>
    <row r="353">
      <c r="A353" s="22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</row>
    <row r="354">
      <c r="A354" s="22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</row>
    <row r="355">
      <c r="A355" s="22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</row>
    <row r="356">
      <c r="A356" s="22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</row>
    <row r="357">
      <c r="A357" s="22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</row>
    <row r="358">
      <c r="A358" s="22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</row>
    <row r="359">
      <c r="A359" s="22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</row>
    <row r="360">
      <c r="A360" s="22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</row>
    <row r="361">
      <c r="A361" s="22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</row>
    <row r="362">
      <c r="A362" s="22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</row>
    <row r="363">
      <c r="A363" s="22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</row>
    <row r="364">
      <c r="A364" s="22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</row>
    <row r="365">
      <c r="A365" s="22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</row>
    <row r="366">
      <c r="A366" s="22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</row>
    <row r="367">
      <c r="A367" s="22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</row>
    <row r="368">
      <c r="A368" s="22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</row>
    <row r="369">
      <c r="A369" s="22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</row>
    <row r="370">
      <c r="A370" s="22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</row>
    <row r="371">
      <c r="A371" s="22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</row>
    <row r="372">
      <c r="A372" s="22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</row>
    <row r="373">
      <c r="A373" s="22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</row>
    <row r="374">
      <c r="A374" s="22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</row>
    <row r="375">
      <c r="A375" s="22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</row>
    <row r="376">
      <c r="A376" s="22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</row>
    <row r="377">
      <c r="A377" s="22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</row>
    <row r="378">
      <c r="A378" s="22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</row>
    <row r="379">
      <c r="A379" s="22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</row>
    <row r="380">
      <c r="A380" s="22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</row>
    <row r="381">
      <c r="A381" s="22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</row>
    <row r="382">
      <c r="A382" s="22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</row>
    <row r="383">
      <c r="A383" s="22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</row>
    <row r="384">
      <c r="A384" s="22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</row>
    <row r="385">
      <c r="A385" s="22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</row>
    <row r="386">
      <c r="A386" s="22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</row>
    <row r="387">
      <c r="A387" s="22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</row>
    <row r="388">
      <c r="A388" s="22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</row>
    <row r="389">
      <c r="A389" s="22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</row>
    <row r="390">
      <c r="A390" s="22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</row>
    <row r="391">
      <c r="A391" s="22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</row>
    <row r="392">
      <c r="A392" s="22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</row>
    <row r="393">
      <c r="A393" s="22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</row>
    <row r="394">
      <c r="A394" s="22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</row>
    <row r="395">
      <c r="A395" s="22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</row>
    <row r="396">
      <c r="A396" s="22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</row>
    <row r="397">
      <c r="A397" s="22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</row>
    <row r="398">
      <c r="A398" s="22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</row>
    <row r="399">
      <c r="A399" s="22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</row>
    <row r="400">
      <c r="A400" s="22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</row>
    <row r="401">
      <c r="A401" s="22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</row>
    <row r="402">
      <c r="A402" s="22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</row>
    <row r="403">
      <c r="A403" s="22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</row>
    <row r="404">
      <c r="A404" s="22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</row>
    <row r="405">
      <c r="A405" s="22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</row>
    <row r="406">
      <c r="A406" s="22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</row>
    <row r="407">
      <c r="A407" s="22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</row>
    <row r="408">
      <c r="A408" s="22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</row>
    <row r="409">
      <c r="A409" s="22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</row>
    <row r="410">
      <c r="A410" s="22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</row>
    <row r="411">
      <c r="A411" s="22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</row>
    <row r="412">
      <c r="A412" s="22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</row>
    <row r="413">
      <c r="A413" s="22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</row>
    <row r="414">
      <c r="A414" s="22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</row>
    <row r="415">
      <c r="A415" s="22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</row>
    <row r="416">
      <c r="A416" s="22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</row>
    <row r="417">
      <c r="A417" s="22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</row>
    <row r="418">
      <c r="A418" s="22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</row>
    <row r="419">
      <c r="A419" s="22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</row>
    <row r="420">
      <c r="A420" s="22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</row>
    <row r="421">
      <c r="A421" s="22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</row>
    <row r="422">
      <c r="A422" s="22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</row>
    <row r="423">
      <c r="A423" s="22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</row>
    <row r="424">
      <c r="A424" s="22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</row>
    <row r="425">
      <c r="A425" s="22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</row>
    <row r="426">
      <c r="A426" s="22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</row>
    <row r="427">
      <c r="A427" s="22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</row>
    <row r="428">
      <c r="A428" s="22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</row>
    <row r="429">
      <c r="A429" s="22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</row>
    <row r="430">
      <c r="A430" s="22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</row>
    <row r="431">
      <c r="A431" s="22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</row>
    <row r="432">
      <c r="A432" s="22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</row>
    <row r="433">
      <c r="A433" s="22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</row>
    <row r="434">
      <c r="A434" s="22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</row>
    <row r="435">
      <c r="A435" s="22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</row>
    <row r="436">
      <c r="A436" s="22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</row>
    <row r="437">
      <c r="A437" s="22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</row>
    <row r="438">
      <c r="A438" s="22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</row>
    <row r="439">
      <c r="A439" s="22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</row>
    <row r="440">
      <c r="A440" s="22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</row>
    <row r="441">
      <c r="A441" s="22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</row>
    <row r="442">
      <c r="A442" s="22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</row>
    <row r="443">
      <c r="A443" s="22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</row>
    <row r="444">
      <c r="A444" s="22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</row>
    <row r="445">
      <c r="A445" s="22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</row>
    <row r="446">
      <c r="A446" s="22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</row>
    <row r="447">
      <c r="A447" s="22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</row>
    <row r="448">
      <c r="A448" s="22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</row>
    <row r="449">
      <c r="A449" s="22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</row>
    <row r="450">
      <c r="A450" s="22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</row>
    <row r="451">
      <c r="A451" s="22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</row>
    <row r="452">
      <c r="A452" s="22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</row>
    <row r="453">
      <c r="A453" s="22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</row>
    <row r="454">
      <c r="A454" s="22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</row>
    <row r="455">
      <c r="A455" s="22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</row>
    <row r="456">
      <c r="A456" s="22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</row>
    <row r="457">
      <c r="A457" s="22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</row>
    <row r="458">
      <c r="A458" s="22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</row>
    <row r="459">
      <c r="A459" s="22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</row>
    <row r="460">
      <c r="A460" s="22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</row>
    <row r="461">
      <c r="A461" s="22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</row>
    <row r="462">
      <c r="A462" s="22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</row>
    <row r="463">
      <c r="A463" s="22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</row>
    <row r="464">
      <c r="A464" s="22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</row>
    <row r="465">
      <c r="A465" s="22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</row>
    <row r="466">
      <c r="A466" s="22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</row>
    <row r="467">
      <c r="A467" s="22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</row>
    <row r="468">
      <c r="A468" s="22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</row>
    <row r="469">
      <c r="A469" s="22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</row>
    <row r="470">
      <c r="A470" s="22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</row>
    <row r="471">
      <c r="A471" s="22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</row>
    <row r="472">
      <c r="A472" s="22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</row>
    <row r="473">
      <c r="A473" s="22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</row>
    <row r="474">
      <c r="A474" s="22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</row>
    <row r="475">
      <c r="A475" s="22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</row>
    <row r="476">
      <c r="A476" s="22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</row>
    <row r="477">
      <c r="A477" s="22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</row>
    <row r="478">
      <c r="A478" s="22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</row>
    <row r="479">
      <c r="A479" s="22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</row>
    <row r="480">
      <c r="A480" s="22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</row>
    <row r="481">
      <c r="A481" s="22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</row>
    <row r="482">
      <c r="A482" s="22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</row>
    <row r="483">
      <c r="A483" s="22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</row>
    <row r="484">
      <c r="A484" s="22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</row>
    <row r="485">
      <c r="A485" s="22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</row>
    <row r="486">
      <c r="A486" s="22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</row>
    <row r="487">
      <c r="A487" s="22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</row>
    <row r="488">
      <c r="A488" s="22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</row>
    <row r="489">
      <c r="A489" s="22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</row>
    <row r="490">
      <c r="A490" s="22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</row>
    <row r="491">
      <c r="A491" s="22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</row>
    <row r="492">
      <c r="A492" s="22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</row>
    <row r="493">
      <c r="A493" s="22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</row>
    <row r="494">
      <c r="A494" s="22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</row>
    <row r="495">
      <c r="A495" s="22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</row>
    <row r="496">
      <c r="A496" s="22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</row>
    <row r="497">
      <c r="A497" s="22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</row>
    <row r="498">
      <c r="A498" s="22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</row>
    <row r="499">
      <c r="A499" s="22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</row>
    <row r="500">
      <c r="A500" s="22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</row>
    <row r="501">
      <c r="A501" s="22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</row>
    <row r="502">
      <c r="A502" s="22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</row>
    <row r="503">
      <c r="A503" s="22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</row>
  </sheetData>
  <mergeCells count="2">
    <mergeCell ref="A1:P1"/>
    <mergeCell ref="A2:P2"/>
  </mergeCells>
  <dataValidations count="3">
    <dataValidation sqref="B4:B503" showDropDown="0" showInputMessage="0" showErrorMessage="0" allowBlank="1" type="list">
      <formula1>"Actif,Grâce 90 jours,Retiré"</formula1>
    </dataValidation>
    <dataValidation sqref="C4:C503" showDropDown="0" showInputMessage="0" showErrorMessage="0" allowBlank="1" type="list">
      <formula1>"Membre,Famille"</formula1>
    </dataValidation>
    <dataValidation sqref="M4:M503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8" customWidth="1" min="4" max="4"/>
    <col width="14" customWidth="1" min="5" max="5"/>
    <col width="30" customWidth="1" min="6" max="6"/>
  </cols>
  <sheetData>
    <row r="1" ht="26" customHeight="1">
      <c r="A1" s="9" t="inlineStr">
        <is>
          <t>FACTURATION MENSUELLE — LA CLINIQUE FACTURE L'ARPQ (les membres ne paient jamais la clinique)</t>
        </is>
      </c>
    </row>
    <row r="3">
      <c r="A3" s="10" t="inlineStr">
        <is>
          <t>Tarif mensuel par personne couverte</t>
        </is>
      </c>
      <c r="B3" s="11" t="n">
        <v>8</v>
      </c>
      <c r="C3" s="12" t="inlineStr">
        <is>
          <t>← Hypothèse fournie par Dr Font (tarif fixe de l'entente ARPQ). Modifier seulement si l'entente change.</t>
        </is>
      </c>
    </row>
    <row r="5">
      <c r="A5" s="10" t="inlineStr">
        <is>
          <t>Personnes ACTIVES (facturables), en direct :</t>
        </is>
      </c>
      <c r="B5" s="13">
        <f>COUNTIF(Registre!B4:B503,"Actif")</f>
        <v/>
      </c>
    </row>
    <row r="6">
      <c r="A6" s="10" t="inlineStr">
        <is>
          <t>Personnes en GRÂCE 90 jours (non facturées) :</t>
        </is>
      </c>
      <c r="B6" s="13">
        <f>COUNTIF(Registre!B4:B503,"Grâce 90 jours")</f>
        <v/>
      </c>
    </row>
    <row r="7">
      <c r="A7" s="10" t="inlineStr">
        <is>
          <t>Personnes RETIRÉES :</t>
        </is>
      </c>
      <c r="B7" s="13">
        <f>COUNTIF(Registre!B4:B503,"Retiré")</f>
        <v/>
      </c>
    </row>
    <row r="8">
      <c r="A8" s="10" t="inlineStr">
        <is>
          <t>Invitations Spruce À FAIRE (actifs non invités) :</t>
        </is>
      </c>
      <c r="B8" s="13">
        <f>COUNTIFS(Registre!B4:B503,"Actif",Registre!M4:M503,"Non")</f>
        <v/>
      </c>
    </row>
    <row r="9">
      <c r="A9" s="10" t="inlineStr">
        <is>
          <t>MONTANT DU MOIS EN COURS :</t>
        </is>
      </c>
      <c r="B9" s="14">
        <f>B5*B3</f>
        <v/>
      </c>
    </row>
    <row r="11">
      <c r="A11" s="15" t="inlineStr">
        <is>
          <t>HISTORIQUE (chaque mois : recopier les chiffres du haut en VALEURS au moment d'envoyer la facture Stripe)</t>
        </is>
      </c>
    </row>
    <row r="12">
      <c r="A12" s="16" t="inlineStr">
        <is>
          <t>Mois (aaaa-mm)</t>
        </is>
      </c>
      <c r="B12" s="16" t="inlineStr">
        <is>
          <t>Personnes actives</t>
        </is>
      </c>
      <c r="C12" s="16" t="inlineStr">
        <is>
          <t>Montant facturé</t>
        </is>
      </c>
      <c r="D12" s="16" t="inlineStr">
        <is>
          <t>Facture envoyée le</t>
        </is>
      </c>
      <c r="E12" s="16" t="inlineStr">
        <is>
          <t>Payée le</t>
        </is>
      </c>
      <c r="F12" s="16" t="inlineStr">
        <is>
          <t>Notes</t>
        </is>
      </c>
    </row>
    <row r="13">
      <c r="A13" s="17" t="inlineStr">
        <is>
          <t>2026-09</t>
        </is>
      </c>
      <c r="B13" s="17" t="n">
        <v>152</v>
      </c>
      <c r="C13" s="18">
        <f>B13*Facturation!$B$3</f>
        <v/>
      </c>
      <c r="D13" s="17" t="inlineStr">
        <is>
          <t>2026-09-01</t>
        </is>
      </c>
      <c r="E13" s="17" t="inlineStr">
        <is>
          <t>2026-09-04</t>
        </is>
      </c>
      <c r="F13" s="17" t="inlineStr">
        <is>
          <t>EXEMPLE — supprimer</t>
        </is>
      </c>
    </row>
    <row r="14">
      <c r="A14" s="17" t="n"/>
      <c r="B14" s="17" t="n"/>
      <c r="C14" s="17" t="n"/>
      <c r="D14" s="17" t="n"/>
      <c r="E14" s="17" t="n"/>
      <c r="F14" s="17" t="n"/>
    </row>
    <row r="15">
      <c r="A15" s="17" t="n"/>
      <c r="B15" s="17" t="n"/>
      <c r="C15" s="17" t="n"/>
      <c r="D15" s="17" t="n"/>
      <c r="E15" s="17" t="n"/>
      <c r="F15" s="17" t="n"/>
    </row>
    <row r="16">
      <c r="A16" s="17" t="n"/>
      <c r="B16" s="17" t="n"/>
      <c r="C16" s="17" t="n"/>
      <c r="D16" s="17" t="n"/>
      <c r="E16" s="17" t="n"/>
      <c r="F16" s="17" t="n"/>
    </row>
    <row r="17">
      <c r="A17" s="17" t="n"/>
      <c r="B17" s="17" t="n"/>
      <c r="C17" s="17" t="n"/>
      <c r="D17" s="17" t="n"/>
      <c r="E17" s="17" t="n"/>
      <c r="F17" s="17" t="n"/>
    </row>
    <row r="18">
      <c r="A18" s="17" t="n"/>
      <c r="B18" s="17" t="n"/>
      <c r="C18" s="17" t="n"/>
      <c r="D18" s="17" t="n"/>
      <c r="E18" s="17" t="n"/>
      <c r="F18" s="17" t="n"/>
    </row>
    <row r="19">
      <c r="A19" s="17" t="n"/>
      <c r="B19" s="17" t="n"/>
      <c r="C19" s="17" t="n"/>
      <c r="D19" s="17" t="n"/>
      <c r="E19" s="17" t="n"/>
      <c r="F19" s="17" t="n"/>
    </row>
    <row r="20">
      <c r="A20" s="17" t="n"/>
      <c r="B20" s="17" t="n"/>
      <c r="C20" s="17" t="n"/>
      <c r="D20" s="17" t="n"/>
      <c r="E20" s="17" t="n"/>
      <c r="F20" s="17" t="n"/>
    </row>
    <row r="21">
      <c r="A21" s="17" t="n"/>
      <c r="B21" s="17" t="n"/>
      <c r="C21" s="17" t="n"/>
      <c r="D21" s="17" t="n"/>
      <c r="E21" s="17" t="n"/>
      <c r="F21" s="17" t="n"/>
    </row>
    <row r="22">
      <c r="A22" s="17" t="n"/>
      <c r="B22" s="17" t="n"/>
      <c r="C22" s="17" t="n"/>
      <c r="D22" s="17" t="n"/>
      <c r="E22" s="17" t="n"/>
      <c r="F22" s="17" t="n"/>
    </row>
    <row r="23">
      <c r="A23" s="17" t="n"/>
      <c r="B23" s="17" t="n"/>
      <c r="C23" s="17" t="n"/>
      <c r="D23" s="17" t="n"/>
      <c r="E23" s="17" t="n"/>
      <c r="F23" s="17" t="n"/>
    </row>
    <row r="24">
      <c r="A24" s="17" t="n"/>
      <c r="B24" s="17" t="n"/>
      <c r="C24" s="17" t="n"/>
      <c r="D24" s="17" t="n"/>
      <c r="E24" s="17" t="n"/>
      <c r="F24" s="17" t="n"/>
    </row>
    <row r="25">
      <c r="A25" s="17" t="n"/>
      <c r="B25" s="17" t="n"/>
      <c r="C25" s="17" t="n"/>
      <c r="D25" s="17" t="n"/>
      <c r="E25" s="17" t="n"/>
      <c r="F25" s="17" t="n"/>
    </row>
    <row r="26">
      <c r="A26" s="17" t="n"/>
      <c r="B26" s="17" t="n"/>
      <c r="C26" s="17" t="n"/>
      <c r="D26" s="17" t="n"/>
      <c r="E26" s="17" t="n"/>
      <c r="F26" s="17" t="n"/>
    </row>
    <row r="27">
      <c r="A27" s="17" t="n"/>
      <c r="B27" s="17" t="n"/>
      <c r="C27" s="17" t="n"/>
      <c r="D27" s="17" t="n"/>
      <c r="E27" s="17" t="n"/>
      <c r="F27" s="17" t="n"/>
    </row>
    <row r="28">
      <c r="A28" s="17" t="n"/>
      <c r="B28" s="17" t="n"/>
      <c r="C28" s="17" t="n"/>
      <c r="D28" s="17" t="n"/>
      <c r="E28" s="17" t="n"/>
      <c r="F28" s="17" t="n"/>
    </row>
    <row r="29">
      <c r="A29" s="17" t="n"/>
      <c r="B29" s="17" t="n"/>
      <c r="C29" s="17" t="n"/>
      <c r="D29" s="17" t="n"/>
      <c r="E29" s="17" t="n"/>
      <c r="F29" s="17" t="n"/>
    </row>
    <row r="30">
      <c r="A30" s="17" t="n"/>
      <c r="B30" s="17" t="n"/>
      <c r="C30" s="17" t="n"/>
      <c r="D30" s="17" t="n"/>
      <c r="E30" s="17" t="n"/>
      <c r="F30" s="17" t="n"/>
    </row>
    <row r="31">
      <c r="A31" s="17" t="n"/>
      <c r="B31" s="17" t="n"/>
      <c r="C31" s="17" t="n"/>
      <c r="D31" s="17" t="n"/>
      <c r="E31" s="17" t="n"/>
      <c r="F31" s="17" t="n"/>
    </row>
    <row r="32">
      <c r="A32" s="17" t="n"/>
      <c r="B32" s="17" t="n"/>
      <c r="C32" s="17" t="n"/>
      <c r="D32" s="17" t="n"/>
      <c r="E32" s="17" t="n"/>
      <c r="F32" s="17" t="n"/>
    </row>
    <row r="33">
      <c r="A33" s="17" t="n"/>
      <c r="B33" s="17" t="n"/>
      <c r="C33" s="17" t="n"/>
      <c r="D33" s="17" t="n"/>
      <c r="E33" s="17" t="n"/>
      <c r="F33" s="17" t="n"/>
    </row>
    <row r="34">
      <c r="A34" s="17" t="n"/>
      <c r="B34" s="17" t="n"/>
      <c r="C34" s="17" t="n"/>
      <c r="D34" s="17" t="n"/>
      <c r="E34" s="17" t="n"/>
      <c r="F34" s="17" t="n"/>
    </row>
    <row r="35">
      <c r="A35" s="17" t="n"/>
      <c r="B35" s="17" t="n"/>
      <c r="C35" s="17" t="n"/>
      <c r="D35" s="17" t="n"/>
      <c r="E35" s="17" t="n"/>
      <c r="F35" s="17" t="n"/>
    </row>
    <row r="36">
      <c r="A36" s="17" t="n"/>
      <c r="B36" s="17" t="n"/>
      <c r="C36" s="17" t="n"/>
      <c r="D36" s="17" t="n"/>
      <c r="E36" s="17" t="n"/>
      <c r="F36" s="17" t="n"/>
    </row>
    <row r="37">
      <c r="A37" s="17" t="n"/>
      <c r="B37" s="17" t="n"/>
      <c r="C37" s="17" t="n"/>
      <c r="D37" s="17" t="n"/>
      <c r="E37" s="17" t="n"/>
      <c r="F37" s="17" t="n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52" customWidth="1" min="1" max="1"/>
    <col width="110" customWidth="1" min="2" max="2"/>
  </cols>
  <sheetData>
    <row r="1" ht="24" customHeight="1">
      <c r="A1" s="19" t="inlineStr">
        <is>
          <t>MODE D'EMPLOI — REGISTRE TRUCK STOP SANTÉ × ARPQ</t>
        </is>
      </c>
    </row>
    <row r="2">
      <c r="A2" s="10" t="inlineStr"/>
      <c r="B2" s="20" t="inlineStr"/>
    </row>
    <row r="3">
      <c r="A3" s="21" t="inlineStr">
        <is>
          <t>CÔTÉ ARPQ (colonnes JAUNES de l'onglet Registre)</t>
        </is>
      </c>
      <c r="B3" s="20" t="inlineStr"/>
    </row>
    <row r="4">
      <c r="A4" s="10" t="inlineStr">
        <is>
          <t>1.</t>
        </is>
      </c>
      <c r="B4" s="20" t="inlineStr">
        <is>
          <t>Ajouter une ligne par personne couverte — un membre OU un membre de sa famille (18 ans et plus). Chaque personne compte pour une place.</t>
        </is>
      </c>
    </row>
    <row r="5">
      <c r="A5" s="10" t="inlineStr">
        <is>
          <t>1b.</t>
        </is>
      </c>
      <c r="B5" s="23" t="inlineStr">
        <is>
          <t>OBLIGATOIRE pour l'invitation Spruce — pour CHAQUE personne (membre ET famille) : prénom + nom, CELLULAIRE pouvant recevoir des textos, et courriel. Sans ces trois informations, pas d'invitation possible.</t>
        </is>
      </c>
    </row>
    <row r="6">
      <c r="A6" s="10" t="inlineStr">
        <is>
          <t>2.</t>
        </is>
      </c>
      <c r="B6" s="20" t="inlineStr">
        <is>
          <t>Statut « Actif » dès que la personne est couverte par le paiement de l'ARPQ.</t>
        </is>
      </c>
    </row>
    <row r="7">
      <c r="A7" s="10" t="inlineStr">
        <is>
          <t>3.</t>
        </is>
      </c>
      <c r="B7" s="20" t="inlineStr">
        <is>
          <t>Quand une personne cesse d'être couverte (départ, non-paiement des cotisations) : Statut « Grâce 90 jours » + inscrire la Date de retrait. La colonne « Fin de grâce » se calcule seule.</t>
        </is>
      </c>
    </row>
    <row r="8">
      <c r="A8" s="10" t="inlineStr">
        <is>
          <t>4.</t>
        </is>
      </c>
      <c r="B8" s="20" t="inlineStr">
        <is>
          <t>Ne jamais effacer une ligne — passer le statut à « Retiré » après la grâce.</t>
        </is>
      </c>
    </row>
    <row r="9">
      <c r="A9" s="10" t="inlineStr"/>
      <c r="B9" s="20" t="inlineStr"/>
    </row>
    <row r="10">
      <c r="A10" s="21" t="inlineStr">
        <is>
          <t>CÔTÉ CLINIQUE (colonnes BLEU PÂLE)</t>
        </is>
      </c>
      <c r="B10" s="20" t="inlineStr"/>
    </row>
    <row r="11">
      <c r="A11" s="10" t="inlineStr">
        <is>
          <t>5.</t>
        </is>
      </c>
      <c r="B11" s="20" t="inlineStr">
        <is>
          <t>Règle d'or : aucun nom au registre payé = aucune invitation Spruce.</t>
        </is>
      </c>
    </row>
    <row r="12">
      <c r="A12" s="10" t="inlineStr">
        <is>
          <t>6.</t>
        </is>
      </c>
      <c r="B12" s="20" t="inlineStr">
        <is>
          <t>Chaque jour : onglet Facturation, case « Invitations à faire » → envoyer l'invitation Spruce + le courriel modèle (brouillon Gmail « MODÈLE — Bienvenue ») → marquer Invité = Oui + date.</t>
        </is>
      </c>
    </row>
    <row r="13">
      <c r="A13" s="10" t="inlineStr">
        <is>
          <t>7.</t>
        </is>
      </c>
      <c r="B13" s="20" t="inlineStr">
        <is>
          <t>À la Fin de grâce : désactiver la personne dans Spruce, passer le statut à « Retiré ».</t>
        </is>
      </c>
    </row>
    <row r="14">
      <c r="A14" s="10" t="inlineStr">
        <is>
          <t>8.</t>
        </is>
      </c>
      <c r="B14" s="20" t="inlineStr">
        <is>
          <t>Chaque début de mois : figer les chiffres dans l'HISTORIQUE (onglet Facturation) et envoyer la facture Stripe à l'ARPQ (personnes actives × tarif).</t>
        </is>
      </c>
    </row>
    <row r="15">
      <c r="A15" s="10" t="inlineStr"/>
      <c r="B15" s="20" t="inlineStr"/>
    </row>
    <row r="16">
      <c r="A16" s="21" t="inlineStr">
        <is>
          <t>PARTAGE</t>
        </is>
      </c>
      <c r="B16" s="20" t="inlineStr"/>
    </row>
    <row r="17">
      <c r="A17" s="10" t="inlineStr">
        <is>
          <t>9.</t>
        </is>
      </c>
      <c r="B17" s="20" t="inlineStr">
        <is>
          <t>Une fois converti en Google Sheet : Partager → cff@centremedicalfont.ca (Éditeur) + la personne-ressource ARPQ (Éditeur). Personne d'autre.</t>
        </is>
      </c>
    </row>
    <row r="18">
      <c r="A18" s="10" t="inlineStr">
        <is>
          <t>10.</t>
        </is>
      </c>
      <c r="B18" s="20" t="inlineStr">
        <is>
          <t>Les données de santé ne vont JAMAIS dans ce fichier — seulement l'identité et les coordonnées (Loi 25 : minimisation).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2026-08-31T21:24:43Z</dcterms:created>
  <dcterms:modified xsi:type="dcterms:W3CDTF">2026-08-31T21:40:56Z</dcterms:modified>
</cp:coreProperties>
</file>