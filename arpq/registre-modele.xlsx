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e" sheetId="1" state="visible" r:id="rId1"/>
    <sheet name="Facturation" sheetId="2" state="visible" r:id="rId2"/>
    <sheet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 $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FFFFFF"/>
      <sz val="13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sz val="11"/>
    </font>
    <font>
      <name val="Arial"/>
      <b val="1"/>
      <color rgb="00FFFFFF"/>
      <sz val="12"/>
    </font>
    <font>
      <name val="Arial"/>
      <b val="1"/>
      <i val="1"/>
      <sz val="10"/>
    </font>
    <font>
      <name val="Arial"/>
      <b val="1"/>
      <color rgb="0014264A"/>
      <sz val="11"/>
    </font>
    <font/>
  </fonts>
  <fills count="8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CE9F7"/>
      </patternFill>
    </fill>
    <fill>
      <patternFill patternType="solid">
        <fgColor rgb="00FFFF00"/>
      </patternFill>
    </fill>
    <fill>
      <patternFill patternType="solid">
        <fgColor rgb="00F59E0B"/>
      </patternFill>
    </fill>
  </fills>
  <borders count="3">
    <border>
      <left/>
      <right/>
      <top/>
      <bottom/>
      <diagonal/>
    </border>
    <border>
      <left style="thin">
        <color rgb="00D9E0EA"/>
      </left>
      <right style="thin">
        <color rgb="00D9E0EA"/>
      </right>
      <top style="thin">
        <color rgb="00D9E0EA"/>
      </top>
      <bottom style="thin">
        <color rgb="00D9E0EA"/>
      </bottom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164" fontId="4" fillId="4" borderId="1" pivotButton="0" quotePrefix="0" xfId="0"/>
    <xf numFmtId="164" fontId="4" fillId="0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pivotButton="0" quotePrefix="0" xfId="0"/>
    <xf numFmtId="165" fontId="7" fillId="6" borderId="0" pivotButton="0" quotePrefix="0" xfId="0"/>
    <xf numFmtId="0" fontId="2" fillId="0" borderId="0" pivotButton="0" quotePrefix="0" xfId="0"/>
    <xf numFmtId="0" fontId="8" fillId="0" borderId="0" pivotButton="0" quotePrefix="0" xfId="0"/>
    <xf numFmtId="165" fontId="9" fillId="7" borderId="0" pivotButton="0" quotePrefix="0" xfId="0"/>
    <xf numFmtId="0" fontId="1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165" fontId="4" fillId="0" borderId="1" pivotButton="0" quotePrefix="0" xfId="0"/>
    <xf numFmtId="0" fontId="5" fillId="2" borderId="0" pivotButton="0" quotePrefix="0" xfId="0"/>
    <xf numFmtId="0" fontId="4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22" customWidth="1" min="4" max="4"/>
    <col width="14" customWidth="1" min="5" max="5"/>
    <col width="16" customWidth="1" min="6" max="6"/>
    <col width="30" customWidth="1" min="7" max="7"/>
    <col width="15" customWidth="1" min="8" max="8"/>
    <col width="15" customWidth="1" min="9" max="9"/>
    <col width="12" customWidth="1" min="10" max="10"/>
    <col width="12" customWidth="1" min="11" max="11"/>
    <col width="14" customWidth="1" min="12" max="12"/>
    <col width="11" customWidth="1" min="13" max="13"/>
    <col width="14" customWidth="1" min="14" max="14"/>
    <col width="14" customWidth="1" min="15" max="15"/>
    <col width="28" customWidth="1" min="16" max="16"/>
  </cols>
  <sheetData>
    <row r="1" ht="28" customHeight="1">
      <c r="A1" s="1" t="inlineStr">
        <is>
          <t>TRUCK STOP SANTÉ × ARPQ — REGISTRE DES PERSONNES COUVERTES</t>
        </is>
      </c>
    </row>
    <row r="2" ht="30" customHeight="1">
      <c r="A2" s="2" t="inlineStr">
        <is>
          <t>JAUNE = rempli par l'ARPQ (ajouts et retraits) · BLEU PÂLE = rempli par la clinique (invitations, panels) · Règle : aucun nom au registre payé = aucune invitation Spruce · La ligne 4 est un EXEMPLE — la supprimer avant usage réel</t>
        </is>
      </c>
    </row>
    <row r="3" ht="30" customHeight="1">
      <c r="A3" s="3" t="inlineStr">
        <is>
          <t>#</t>
        </is>
      </c>
      <c r="B3" s="3" t="inlineStr">
        <is>
          <t>Statut</t>
        </is>
      </c>
      <c r="C3" s="3" t="inlineStr">
        <is>
          <t>Type</t>
        </is>
      </c>
      <c r="D3" s="3" t="inlineStr">
        <is>
          <t>Membre principal (si Famille)</t>
        </is>
      </c>
      <c r="E3" s="3" t="inlineStr">
        <is>
          <t>Prénom</t>
        </is>
      </c>
      <c r="F3" s="3" t="inlineStr">
        <is>
          <t>Nom</t>
        </is>
      </c>
      <c r="G3" s="3" t="inlineStr">
        <is>
          <t>Courriel</t>
        </is>
      </c>
      <c r="H3" s="3" t="inlineStr">
        <is>
          <t>Téléphone</t>
        </is>
      </c>
      <c r="I3" s="3" t="inlineStr">
        <is>
          <t>No membre ARPQ</t>
        </is>
      </c>
      <c r="J3" s="3" t="inlineStr">
        <is>
          <t>Date d'ajout</t>
        </is>
      </c>
      <c r="K3" s="3" t="inlineStr">
        <is>
          <t>Date de retrait</t>
        </is>
      </c>
      <c r="L3" s="3" t="inlineStr">
        <is>
          <t>Fin de grâce (auto)</t>
        </is>
      </c>
      <c r="M3" s="3" t="inlineStr">
        <is>
          <t>Invité Spruce</t>
        </is>
      </c>
      <c r="N3" s="3" t="inlineStr">
        <is>
          <t>Date d'invitation</t>
        </is>
      </c>
      <c r="O3" s="3" t="inlineStr">
        <is>
          <t>Panel (médecin)</t>
        </is>
      </c>
      <c r="P3" s="3" t="inlineStr">
        <is>
          <t>Notes</t>
        </is>
      </c>
    </row>
    <row r="4">
      <c r="A4" s="4" t="n">
        <v>1</v>
      </c>
      <c r="B4" s="4" t="inlineStr">
        <is>
          <t>Actif</t>
        </is>
      </c>
      <c r="C4" s="4" t="inlineStr">
        <is>
          <t>Membre</t>
        </is>
      </c>
      <c r="D4" s="4" t="inlineStr"/>
      <c r="E4" s="4" t="inlineStr">
        <is>
          <t>Jean</t>
        </is>
      </c>
      <c r="F4" s="4" t="inlineStr">
        <is>
          <t>Tremblay</t>
        </is>
      </c>
      <c r="G4" s="4" t="inlineStr">
        <is>
          <t>jean.tremblay@exemple.com</t>
        </is>
      </c>
      <c r="H4" s="4" t="inlineStr">
        <is>
          <t>514 555-0199</t>
        </is>
      </c>
      <c r="I4" s="4" t="inlineStr">
        <is>
          <t>ARPQ-00123</t>
        </is>
      </c>
      <c r="J4" s="5" t="inlineStr">
        <is>
          <t>2026-09-15</t>
        </is>
      </c>
      <c r="K4" s="5" t="inlineStr"/>
      <c r="L4" s="6">
        <f>IF($K4="","",$K4+90)</f>
        <v/>
      </c>
      <c r="M4" s="7" t="inlineStr">
        <is>
          <t>Oui</t>
        </is>
      </c>
      <c r="N4" s="8" t="inlineStr">
        <is>
          <t>2026-09-16</t>
        </is>
      </c>
      <c r="O4" s="7" t="inlineStr">
        <is>
          <t>Dr Font</t>
        </is>
      </c>
      <c r="P4" s="7" t="inlineStr">
        <is>
          <t>EXEMPLE — supprimer cette ligne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5" t="n"/>
      <c r="K5" s="5" t="n"/>
      <c r="L5" s="6">
        <f>IF($K5="","",$K5+90)</f>
        <v/>
      </c>
      <c r="M5" s="7" t="n"/>
      <c r="N5" s="8" t="n"/>
      <c r="O5" s="7" t="n"/>
      <c r="P5" s="7" t="inlineStr">
        <is>
          <t>Astuce : sélectionnez la ligne 5 au complet et glissez vers le bas pour étendre couleurs et formule « Fin de grâce ».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5" t="n"/>
      <c r="K6" s="5" t="n"/>
      <c r="L6" s="6">
        <f>IF($K6="","",$K6+90)</f>
        <v/>
      </c>
      <c r="M6" s="7" t="n"/>
      <c r="N6" s="8" t="n"/>
      <c r="O6" s="7" t="n"/>
      <c r="P6" s="7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5" t="n"/>
      <c r="K7" s="5" t="n"/>
      <c r="L7" s="6">
        <f>IF($K7="","",$K7+90)</f>
        <v/>
      </c>
      <c r="M7" s="7" t="n"/>
      <c r="N7" s="8" t="n"/>
      <c r="O7" s="7" t="n"/>
      <c r="P7" s="7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5" t="n"/>
      <c r="K8" s="5" t="n"/>
      <c r="L8" s="6">
        <f>IF($K8="","",$K8+90)</f>
        <v/>
      </c>
      <c r="M8" s="7" t="n"/>
      <c r="N8" s="8" t="n"/>
      <c r="O8" s="7" t="n"/>
      <c r="P8" s="7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5" t="n"/>
      <c r="K9" s="5" t="n"/>
      <c r="L9" s="6">
        <f>IF($K9="","",$K9+90)</f>
        <v/>
      </c>
      <c r="M9" s="7" t="n"/>
      <c r="N9" s="8" t="n"/>
      <c r="O9" s="7" t="n"/>
      <c r="P9" s="7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5" t="n"/>
      <c r="K10" s="5" t="n"/>
      <c r="L10" s="6">
        <f>IF($K10="","",$K10+90)</f>
        <v/>
      </c>
      <c r="M10" s="7" t="n"/>
      <c r="N10" s="8" t="n"/>
      <c r="O10" s="7" t="n"/>
      <c r="P10" s="7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5" t="n"/>
      <c r="K11" s="5" t="n"/>
      <c r="L11" s="6">
        <f>IF($K11="","",$K11+90)</f>
        <v/>
      </c>
      <c r="M11" s="7" t="n"/>
      <c r="N11" s="8" t="n"/>
      <c r="O11" s="7" t="n"/>
      <c r="P11" s="7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5" t="n"/>
      <c r="K12" s="5" t="n"/>
      <c r="L12" s="6">
        <f>IF($K12="","",$K12+90)</f>
        <v/>
      </c>
      <c r="M12" s="7" t="n"/>
      <c r="N12" s="8" t="n"/>
      <c r="O12" s="7" t="n"/>
      <c r="P12" s="7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5" t="n"/>
      <c r="K13" s="5" t="n"/>
      <c r="L13" s="6">
        <f>IF($K13="","",$K13+90)</f>
        <v/>
      </c>
      <c r="M13" s="7" t="n"/>
      <c r="N13" s="8" t="n"/>
      <c r="O13" s="7" t="n"/>
      <c r="P13" s="7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5" t="n"/>
      <c r="K14" s="5" t="n"/>
      <c r="L14" s="6">
        <f>IF($K14="","",$K14+90)</f>
        <v/>
      </c>
      <c r="M14" s="7" t="n"/>
      <c r="N14" s="8" t="n"/>
      <c r="O14" s="7" t="n"/>
      <c r="P14" s="7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5" t="n"/>
      <c r="K15" s="5" t="n"/>
      <c r="L15" s="6">
        <f>IF($K15="","",$K15+90)</f>
        <v/>
      </c>
      <c r="M15" s="7" t="n"/>
      <c r="N15" s="8" t="n"/>
      <c r="O15" s="7" t="n"/>
      <c r="P15" s="7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5" t="n"/>
      <c r="K16" s="5" t="n"/>
      <c r="L16" s="6">
        <f>IF($K16="","",$K16+90)</f>
        <v/>
      </c>
      <c r="M16" s="7" t="n"/>
      <c r="N16" s="8" t="n"/>
      <c r="O16" s="7" t="n"/>
      <c r="P16" s="7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5" t="n"/>
      <c r="K17" s="5" t="n"/>
      <c r="L17" s="6">
        <f>IF($K17="","",$K17+90)</f>
        <v/>
      </c>
      <c r="M17" s="7" t="n"/>
      <c r="N17" s="8" t="n"/>
      <c r="O17" s="7" t="n"/>
      <c r="P17" s="7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5" t="n"/>
      <c r="K18" s="5" t="n"/>
      <c r="L18" s="6">
        <f>IF($K18="","",$K18+90)</f>
        <v/>
      </c>
      <c r="M18" s="7" t="n"/>
      <c r="N18" s="8" t="n"/>
      <c r="O18" s="7" t="n"/>
      <c r="P18" s="7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5" t="n"/>
      <c r="K19" s="5" t="n"/>
      <c r="L19" s="6">
        <f>IF($K19="","",$K19+90)</f>
        <v/>
      </c>
      <c r="M19" s="7" t="n"/>
      <c r="N19" s="8" t="n"/>
      <c r="O19" s="7" t="n"/>
      <c r="P19" s="7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5" t="n"/>
      <c r="K20" s="5" t="n"/>
      <c r="L20" s="6">
        <f>IF($K20="","",$K20+90)</f>
        <v/>
      </c>
      <c r="M20" s="7" t="n"/>
      <c r="N20" s="8" t="n"/>
      <c r="O20" s="7" t="n"/>
      <c r="P20" s="7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5" t="n"/>
      <c r="K21" s="5" t="n"/>
      <c r="L21" s="6">
        <f>IF($K21="","",$K21+90)</f>
        <v/>
      </c>
      <c r="M21" s="7" t="n"/>
      <c r="N21" s="8" t="n"/>
      <c r="O21" s="7" t="n"/>
      <c r="P21" s="7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5" t="n"/>
      <c r="K22" s="5" t="n"/>
      <c r="L22" s="6">
        <f>IF($K22="","",$K22+90)</f>
        <v/>
      </c>
      <c r="M22" s="7" t="n"/>
      <c r="N22" s="8" t="n"/>
      <c r="O22" s="7" t="n"/>
      <c r="P22" s="7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5" t="n"/>
      <c r="K23" s="5" t="n"/>
      <c r="L23" s="6">
        <f>IF($K23="","",$K23+90)</f>
        <v/>
      </c>
      <c r="M23" s="7" t="n"/>
      <c r="N23" s="8" t="n"/>
      <c r="O23" s="7" t="n"/>
      <c r="P23" s="7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5" t="n"/>
      <c r="K24" s="5" t="n"/>
      <c r="L24" s="6">
        <f>IF($K24="","",$K24+90)</f>
        <v/>
      </c>
      <c r="M24" s="7" t="n"/>
      <c r="N24" s="8" t="n"/>
      <c r="O24" s="7" t="n"/>
      <c r="P24" s="7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5" t="n"/>
      <c r="K25" s="5" t="n"/>
      <c r="L25" s="6">
        <f>IF($K25="","",$K25+90)</f>
        <v/>
      </c>
      <c r="M25" s="7" t="n"/>
      <c r="N25" s="8" t="n"/>
      <c r="O25" s="7" t="n"/>
      <c r="P25" s="7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5" t="n"/>
      <c r="K26" s="5" t="n"/>
      <c r="L26" s="6">
        <f>IF($K26="","",$K26+90)</f>
        <v/>
      </c>
      <c r="M26" s="7" t="n"/>
      <c r="N26" s="8" t="n"/>
      <c r="O26" s="7" t="n"/>
      <c r="P26" s="7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5" t="n"/>
      <c r="K27" s="5" t="n"/>
      <c r="L27" s="6">
        <f>IF($K27="","",$K27+90)</f>
        <v/>
      </c>
      <c r="M27" s="7" t="n"/>
      <c r="N27" s="8" t="n"/>
      <c r="O27" s="7" t="n"/>
      <c r="P27" s="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5" t="n"/>
      <c r="K28" s="5" t="n"/>
      <c r="L28" s="6">
        <f>IF($K28="","",$K28+90)</f>
        <v/>
      </c>
      <c r="M28" s="7" t="n"/>
      <c r="N28" s="8" t="n"/>
      <c r="O28" s="7" t="n"/>
      <c r="P28" s="7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5" t="n"/>
      <c r="K29" s="5" t="n"/>
      <c r="L29" s="6">
        <f>IF($K29="","",$K29+90)</f>
        <v/>
      </c>
      <c r="M29" s="7" t="n"/>
      <c r="N29" s="8" t="n"/>
      <c r="O29" s="7" t="n"/>
      <c r="P29" s="7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5" t="n"/>
      <c r="K30" s="5" t="n"/>
      <c r="L30" s="6">
        <f>IF($K30="","",$K30+90)</f>
        <v/>
      </c>
      <c r="M30" s="7" t="n"/>
      <c r="N30" s="8" t="n"/>
      <c r="O30" s="7" t="n"/>
      <c r="P30" s="7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5" t="n"/>
      <c r="K31" s="5" t="n"/>
      <c r="L31" s="6">
        <f>IF($K31="","",$K31+90)</f>
        <v/>
      </c>
      <c r="M31" s="7" t="n"/>
      <c r="N31" s="8" t="n"/>
      <c r="O31" s="7" t="n"/>
      <c r="P31" s="7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5" t="n"/>
      <c r="K32" s="5" t="n"/>
      <c r="L32" s="6">
        <f>IF($K32="","",$K32+90)</f>
        <v/>
      </c>
      <c r="M32" s="7" t="n"/>
      <c r="N32" s="8" t="n"/>
      <c r="O32" s="7" t="n"/>
      <c r="P32" s="7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5" t="n"/>
      <c r="K33" s="5" t="n"/>
      <c r="L33" s="6">
        <f>IF($K33="","",$K33+90)</f>
        <v/>
      </c>
      <c r="M33" s="7" t="n"/>
      <c r="N33" s="8" t="n"/>
      <c r="O33" s="7" t="n"/>
      <c r="P33" s="7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5" t="n"/>
      <c r="K34" s="5" t="n"/>
      <c r="L34" s="6">
        <f>IF($K34="","",$K34+90)</f>
        <v/>
      </c>
      <c r="M34" s="7" t="n"/>
      <c r="N34" s="8" t="n"/>
      <c r="O34" s="7" t="n"/>
      <c r="P34" s="7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5" t="n"/>
      <c r="K35" s="5" t="n"/>
      <c r="L35" s="6">
        <f>IF($K35="","",$K35+90)</f>
        <v/>
      </c>
      <c r="M35" s="7" t="n"/>
      <c r="N35" s="8" t="n"/>
      <c r="O35" s="7" t="n"/>
      <c r="P35" s="7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5" t="n"/>
      <c r="K36" s="5" t="n"/>
      <c r="L36" s="6">
        <f>IF($K36="","",$K36+90)</f>
        <v/>
      </c>
      <c r="M36" s="7" t="n"/>
      <c r="N36" s="8" t="n"/>
      <c r="O36" s="7" t="n"/>
      <c r="P36" s="7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5" t="n"/>
      <c r="K37" s="5" t="n"/>
      <c r="L37" s="6">
        <f>IF($K37="","",$K37+90)</f>
        <v/>
      </c>
      <c r="M37" s="7" t="n"/>
      <c r="N37" s="8" t="n"/>
      <c r="O37" s="7" t="n"/>
      <c r="P37" s="7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5" t="n"/>
      <c r="K38" s="5" t="n"/>
      <c r="L38" s="6">
        <f>IF($K38="","",$K38+90)</f>
        <v/>
      </c>
      <c r="M38" s="7" t="n"/>
      <c r="N38" s="8" t="n"/>
      <c r="O38" s="7" t="n"/>
      <c r="P38" s="7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5" t="n"/>
      <c r="K39" s="5" t="n"/>
      <c r="L39" s="6">
        <f>IF($K39="","",$K39+90)</f>
        <v/>
      </c>
      <c r="M39" s="7" t="n"/>
      <c r="N39" s="8" t="n"/>
      <c r="O39" s="7" t="n"/>
      <c r="P39" s="7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5" t="n"/>
      <c r="K40" s="5" t="n"/>
      <c r="L40" s="6">
        <f>IF($K40="","",$K40+90)</f>
        <v/>
      </c>
      <c r="M40" s="7" t="n"/>
      <c r="N40" s="8" t="n"/>
      <c r="O40" s="7" t="n"/>
      <c r="P40" s="7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5" t="n"/>
      <c r="K41" s="5" t="n"/>
      <c r="L41" s="6">
        <f>IF($K41="","",$K41+90)</f>
        <v/>
      </c>
      <c r="M41" s="7" t="n"/>
      <c r="N41" s="8" t="n"/>
      <c r="O41" s="7" t="n"/>
      <c r="P41" s="7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5" t="n"/>
      <c r="K42" s="5" t="n"/>
      <c r="L42" s="6">
        <f>IF($K42="","",$K42+90)</f>
        <v/>
      </c>
      <c r="M42" s="7" t="n"/>
      <c r="N42" s="8" t="n"/>
      <c r="O42" s="7" t="n"/>
      <c r="P42" s="7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5" t="n"/>
      <c r="K43" s="5" t="n"/>
      <c r="L43" s="6">
        <f>IF($K43="","",$K43+90)</f>
        <v/>
      </c>
      <c r="M43" s="7" t="n"/>
      <c r="N43" s="8" t="n"/>
      <c r="O43" s="7" t="n"/>
      <c r="P43" s="7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5" t="n"/>
      <c r="K44" s="5" t="n"/>
      <c r="L44" s="6">
        <f>IF($K44="","",$K44+90)</f>
        <v/>
      </c>
      <c r="M44" s="7" t="n"/>
      <c r="N44" s="8" t="n"/>
      <c r="O44" s="7" t="n"/>
      <c r="P44" s="7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5" t="n"/>
      <c r="K45" s="5" t="n"/>
      <c r="L45" s="6">
        <f>IF($K45="","",$K45+90)</f>
        <v/>
      </c>
      <c r="M45" s="7" t="n"/>
      <c r="N45" s="8" t="n"/>
      <c r="O45" s="7" t="n"/>
      <c r="P45" s="7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5" t="n"/>
      <c r="K46" s="5" t="n"/>
      <c r="L46" s="6">
        <f>IF($K46="","",$K46+90)</f>
        <v/>
      </c>
      <c r="M46" s="7" t="n"/>
      <c r="N46" s="8" t="n"/>
      <c r="O46" s="7" t="n"/>
      <c r="P46" s="7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5" t="n"/>
      <c r="K47" s="5" t="n"/>
      <c r="L47" s="6">
        <f>IF($K47="","",$K47+90)</f>
        <v/>
      </c>
      <c r="M47" s="7" t="n"/>
      <c r="N47" s="8" t="n"/>
      <c r="O47" s="7" t="n"/>
      <c r="P47" s="7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5" t="n"/>
      <c r="K48" s="5" t="n"/>
      <c r="L48" s="6">
        <f>IF($K48="","",$K48+90)</f>
        <v/>
      </c>
      <c r="M48" s="7" t="n"/>
      <c r="N48" s="8" t="n"/>
      <c r="O48" s="7" t="n"/>
      <c r="P48" s="7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5" t="n"/>
      <c r="K49" s="5" t="n"/>
      <c r="L49" s="6">
        <f>IF($K49="","",$K49+90)</f>
        <v/>
      </c>
      <c r="M49" s="7" t="n"/>
      <c r="N49" s="8" t="n"/>
      <c r="O49" s="7" t="n"/>
      <c r="P49" s="7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5" t="n"/>
      <c r="K50" s="5" t="n"/>
      <c r="L50" s="6">
        <f>IF($K50="","",$K50+90)</f>
        <v/>
      </c>
      <c r="M50" s="7" t="n"/>
      <c r="N50" s="8" t="n"/>
      <c r="O50" s="7" t="n"/>
      <c r="P50" s="7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5" t="n"/>
      <c r="K51" s="5" t="n"/>
      <c r="L51" s="6">
        <f>IF($K51="","",$K51+90)</f>
        <v/>
      </c>
      <c r="M51" s="7" t="n"/>
      <c r="N51" s="8" t="n"/>
      <c r="O51" s="7" t="n"/>
      <c r="P51" s="7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5" t="n"/>
      <c r="K52" s="5" t="n"/>
      <c r="L52" s="6">
        <f>IF($K52="","",$K52+90)</f>
        <v/>
      </c>
      <c r="M52" s="7" t="n"/>
      <c r="N52" s="8" t="n"/>
      <c r="O52" s="7" t="n"/>
      <c r="P52" s="7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5" t="n"/>
      <c r="K53" s="5" t="n"/>
      <c r="L53" s="6">
        <f>IF($K53="","",$K53+90)</f>
        <v/>
      </c>
      <c r="M53" s="7" t="n"/>
      <c r="N53" s="8" t="n"/>
      <c r="O53" s="7" t="n"/>
      <c r="P53" s="7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5" t="n"/>
      <c r="K54" s="5" t="n"/>
      <c r="L54" s="6">
        <f>IF($K54="","",$K54+90)</f>
        <v/>
      </c>
      <c r="M54" s="7" t="n"/>
      <c r="N54" s="8" t="n"/>
      <c r="O54" s="7" t="n"/>
      <c r="P54" s="7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5" t="n"/>
      <c r="K55" s="5" t="n"/>
      <c r="L55" s="6">
        <f>IF($K55="","",$K55+90)</f>
        <v/>
      </c>
      <c r="M55" s="7" t="n"/>
      <c r="N55" s="8" t="n"/>
      <c r="O55" s="7" t="n"/>
      <c r="P55" s="7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5" t="n"/>
      <c r="K56" s="5" t="n"/>
      <c r="L56" s="6">
        <f>IF($K56="","",$K56+90)</f>
        <v/>
      </c>
      <c r="M56" s="7" t="n"/>
      <c r="N56" s="8" t="n"/>
      <c r="O56" s="7" t="n"/>
      <c r="P56" s="7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5" t="n"/>
      <c r="K57" s="5" t="n"/>
      <c r="L57" s="6">
        <f>IF($K57="","",$K57+90)</f>
        <v/>
      </c>
      <c r="M57" s="7" t="n"/>
      <c r="N57" s="8" t="n"/>
      <c r="O57" s="7" t="n"/>
      <c r="P57" s="7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5" t="n"/>
      <c r="K58" s="5" t="n"/>
      <c r="L58" s="6">
        <f>IF($K58="","",$K58+90)</f>
        <v/>
      </c>
      <c r="M58" s="7" t="n"/>
      <c r="N58" s="8" t="n"/>
      <c r="O58" s="7" t="n"/>
      <c r="P58" s="7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5" t="n"/>
      <c r="K59" s="5" t="n"/>
      <c r="L59" s="6">
        <f>IF($K59="","",$K59+90)</f>
        <v/>
      </c>
      <c r="M59" s="7" t="n"/>
      <c r="N59" s="8" t="n"/>
      <c r="O59" s="7" t="n"/>
      <c r="P59" s="7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5" t="n"/>
      <c r="K60" s="5" t="n"/>
      <c r="L60" s="6">
        <f>IF($K60="","",$K60+90)</f>
        <v/>
      </c>
      <c r="M60" s="7" t="n"/>
      <c r="N60" s="8" t="n"/>
      <c r="O60" s="7" t="n"/>
      <c r="P60" s="7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5" t="n"/>
      <c r="K61" s="5" t="n"/>
      <c r="L61" s="6">
        <f>IF($K61="","",$K61+90)</f>
        <v/>
      </c>
      <c r="M61" s="7" t="n"/>
      <c r="N61" s="8" t="n"/>
      <c r="O61" s="7" t="n"/>
      <c r="P61" s="7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5" t="n"/>
      <c r="K62" s="5" t="n"/>
      <c r="L62" s="6">
        <f>IF($K62="","",$K62+90)</f>
        <v/>
      </c>
      <c r="M62" s="7" t="n"/>
      <c r="N62" s="8" t="n"/>
      <c r="O62" s="7" t="n"/>
      <c r="P62" s="7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5" t="n"/>
      <c r="K63" s="5" t="n"/>
      <c r="L63" s="6">
        <f>IF($K63="","",$K63+90)</f>
        <v/>
      </c>
      <c r="M63" s="7" t="n"/>
      <c r="N63" s="8" t="n"/>
      <c r="O63" s="7" t="n"/>
      <c r="P63" s="7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</row>
    <row r="501">
      <c r="A501" s="22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</row>
    <row r="502">
      <c r="A502" s="22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</row>
    <row r="503">
      <c r="A503" s="22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</row>
  </sheetData>
  <mergeCells count="2">
    <mergeCell ref="A1:P1"/>
    <mergeCell ref="A2:P2"/>
  </mergeCells>
  <dataValidations count="3">
    <dataValidation sqref="B4:B503" showDropDown="0" showInputMessage="0" showErrorMessage="0" allowBlank="1" type="list">
      <formula1>"Actif,Grâce 90 jours,Retiré"</formula1>
    </dataValidation>
    <dataValidation sqref="C4:C503" showDropDown="0" showInputMessage="0" showErrorMessage="0" allowBlank="1" type="list">
      <formula1>"Membre,Famille"</formula1>
    </dataValidation>
    <dataValidation sqref="M4:M503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8" customWidth="1" min="4" max="4"/>
    <col width="14" customWidth="1" min="5" max="5"/>
    <col width="30" customWidth="1" min="6" max="6"/>
  </cols>
  <sheetData>
    <row r="1" ht="26" customHeight="1">
      <c r="A1" s="9" t="inlineStr">
        <is>
          <t>FACTURATION MENSUELLE — LA CLINIQUE FACTURE L'ARPQ (les membres ne paient jamais la clinique)</t>
        </is>
      </c>
    </row>
    <row r="3">
      <c r="A3" s="10" t="inlineStr">
        <is>
          <t>Tarif mensuel par personne couverte</t>
        </is>
      </c>
      <c r="B3" s="11" t="n">
        <v>8</v>
      </c>
      <c r="C3" s="12" t="inlineStr">
        <is>
          <t>← Hypothèse fournie par Dr Font (tarif fixe de l'entente ARPQ). Modifier seulement si l'entente change.</t>
        </is>
      </c>
    </row>
    <row r="5">
      <c r="A5" s="10" t="inlineStr">
        <is>
          <t>Personnes ACTIVES (facturables), en direct :</t>
        </is>
      </c>
      <c r="B5" s="13">
        <f>COUNTIF(Registre!B4:B503,"Actif")</f>
        <v/>
      </c>
    </row>
    <row r="6">
      <c r="A6" s="10" t="inlineStr">
        <is>
          <t>Personnes en GRÂCE 90 jours (non facturées) :</t>
        </is>
      </c>
      <c r="B6" s="13">
        <f>COUNTIF(Registre!B4:B503,"Grâce 90 jours")</f>
        <v/>
      </c>
    </row>
    <row r="7">
      <c r="A7" s="10" t="inlineStr">
        <is>
          <t>Personnes RETIRÉES :</t>
        </is>
      </c>
      <c r="B7" s="13">
        <f>COUNTIF(Registre!B4:B503,"Retiré")</f>
        <v/>
      </c>
    </row>
    <row r="8">
      <c r="A8" s="10" t="inlineStr">
        <is>
          <t>Invitations Spruce À FAIRE (actifs non invités) :</t>
        </is>
      </c>
      <c r="B8" s="13">
        <f>COUNTIFS(Registre!B4:B503,"Actif",Registre!M4:M503,"Non")</f>
        <v/>
      </c>
    </row>
    <row r="9">
      <c r="A9" s="10" t="inlineStr">
        <is>
          <t>MONTANT DU MOIS EN COURS :</t>
        </is>
      </c>
      <c r="B9" s="14">
        <f>B5*B3</f>
        <v/>
      </c>
    </row>
    <row r="11">
      <c r="A11" s="15" t="inlineStr">
        <is>
          <t>HISTORIQUE (chaque mois : recopier les chiffres du haut en VALEURS au moment d'envoyer la facture Stripe)</t>
        </is>
      </c>
    </row>
    <row r="12">
      <c r="A12" s="16" t="inlineStr">
        <is>
          <t>Mois (aaaa-mm)</t>
        </is>
      </c>
      <c r="B12" s="16" t="inlineStr">
        <is>
          <t>Personnes actives</t>
        </is>
      </c>
      <c r="C12" s="16" t="inlineStr">
        <is>
          <t>Montant facturé</t>
        </is>
      </c>
      <c r="D12" s="16" t="inlineStr">
        <is>
          <t>Facture envoyée le</t>
        </is>
      </c>
      <c r="E12" s="16" t="inlineStr">
        <is>
          <t>Payée le</t>
        </is>
      </c>
      <c r="F12" s="16" t="inlineStr">
        <is>
          <t>Notes</t>
        </is>
      </c>
    </row>
    <row r="13">
      <c r="A13" s="17" t="inlineStr">
        <is>
          <t>2026-09</t>
        </is>
      </c>
      <c r="B13" s="17" t="n">
        <v>152</v>
      </c>
      <c r="C13" s="18">
        <f>B13*Facturation!$B$3</f>
        <v/>
      </c>
      <c r="D13" s="17" t="inlineStr">
        <is>
          <t>2026-09-01</t>
        </is>
      </c>
      <c r="E13" s="17" t="inlineStr">
        <is>
          <t>2026-09-04</t>
        </is>
      </c>
      <c r="F13" s="17" t="inlineStr">
        <is>
          <t>EXEMPLE — supprimer</t>
        </is>
      </c>
    </row>
    <row r="14">
      <c r="A14" s="17" t="n"/>
      <c r="B14" s="17" t="n"/>
      <c r="C14" s="17" t="n"/>
      <c r="D14" s="17" t="n"/>
      <c r="E14" s="17" t="n"/>
      <c r="F14" s="17" t="n"/>
    </row>
    <row r="15">
      <c r="A15" s="17" t="n"/>
      <c r="B15" s="17" t="n"/>
      <c r="C15" s="17" t="n"/>
      <c r="D15" s="17" t="n"/>
      <c r="E15" s="17" t="n"/>
      <c r="F15" s="17" t="n"/>
    </row>
    <row r="16">
      <c r="A16" s="17" t="n"/>
      <c r="B16" s="17" t="n"/>
      <c r="C16" s="17" t="n"/>
      <c r="D16" s="17" t="n"/>
      <c r="E16" s="17" t="n"/>
      <c r="F16" s="17" t="n"/>
    </row>
    <row r="17">
      <c r="A17" s="17" t="n"/>
      <c r="B17" s="17" t="n"/>
      <c r="C17" s="17" t="n"/>
      <c r="D17" s="17" t="n"/>
      <c r="E17" s="17" t="n"/>
      <c r="F17" s="17" t="n"/>
    </row>
    <row r="18">
      <c r="A18" s="17" t="n"/>
      <c r="B18" s="17" t="n"/>
      <c r="C18" s="17" t="n"/>
      <c r="D18" s="17" t="n"/>
      <c r="E18" s="17" t="n"/>
      <c r="F18" s="17" t="n"/>
    </row>
    <row r="19">
      <c r="A19" s="17" t="n"/>
      <c r="B19" s="17" t="n"/>
      <c r="C19" s="17" t="n"/>
      <c r="D19" s="17" t="n"/>
      <c r="E19" s="17" t="n"/>
      <c r="F19" s="17" t="n"/>
    </row>
    <row r="20">
      <c r="A20" s="17" t="n"/>
      <c r="B20" s="17" t="n"/>
      <c r="C20" s="17" t="n"/>
      <c r="D20" s="17" t="n"/>
      <c r="E20" s="17" t="n"/>
      <c r="F20" s="17" t="n"/>
    </row>
    <row r="21">
      <c r="A21" s="17" t="n"/>
      <c r="B21" s="17" t="n"/>
      <c r="C21" s="17" t="n"/>
      <c r="D21" s="17" t="n"/>
      <c r="E21" s="17" t="n"/>
      <c r="F21" s="17" t="n"/>
    </row>
    <row r="22">
      <c r="A22" s="17" t="n"/>
      <c r="B22" s="17" t="n"/>
      <c r="C22" s="17" t="n"/>
      <c r="D22" s="17" t="n"/>
      <c r="E22" s="17" t="n"/>
      <c r="F22" s="17" t="n"/>
    </row>
    <row r="23">
      <c r="A23" s="17" t="n"/>
      <c r="B23" s="17" t="n"/>
      <c r="C23" s="17" t="n"/>
      <c r="D23" s="17" t="n"/>
      <c r="E23" s="17" t="n"/>
      <c r="F23" s="17" t="n"/>
    </row>
    <row r="24">
      <c r="A24" s="17" t="n"/>
      <c r="B24" s="17" t="n"/>
      <c r="C24" s="17" t="n"/>
      <c r="D24" s="17" t="n"/>
      <c r="E24" s="17" t="n"/>
      <c r="F24" s="17" t="n"/>
    </row>
    <row r="25">
      <c r="A25" s="17" t="n"/>
      <c r="B25" s="17" t="n"/>
      <c r="C25" s="17" t="n"/>
      <c r="D25" s="17" t="n"/>
      <c r="E25" s="17" t="n"/>
      <c r="F25" s="17" t="n"/>
    </row>
    <row r="26">
      <c r="A26" s="17" t="n"/>
      <c r="B26" s="17" t="n"/>
      <c r="C26" s="17" t="n"/>
      <c r="D26" s="17" t="n"/>
      <c r="E26" s="17" t="n"/>
      <c r="F26" s="17" t="n"/>
    </row>
    <row r="27">
      <c r="A27" s="17" t="n"/>
      <c r="B27" s="17" t="n"/>
      <c r="C27" s="17" t="n"/>
      <c r="D27" s="17" t="n"/>
      <c r="E27" s="17" t="n"/>
      <c r="F27" s="17" t="n"/>
    </row>
    <row r="28">
      <c r="A28" s="17" t="n"/>
      <c r="B28" s="17" t="n"/>
      <c r="C28" s="17" t="n"/>
      <c r="D28" s="17" t="n"/>
      <c r="E28" s="17" t="n"/>
      <c r="F28" s="17" t="n"/>
    </row>
    <row r="29">
      <c r="A29" s="17" t="n"/>
      <c r="B29" s="17" t="n"/>
      <c r="C29" s="17" t="n"/>
      <c r="D29" s="17" t="n"/>
      <c r="E29" s="17" t="n"/>
      <c r="F29" s="17" t="n"/>
    </row>
    <row r="30">
      <c r="A30" s="17" t="n"/>
      <c r="B30" s="17" t="n"/>
      <c r="C30" s="17" t="n"/>
      <c r="D30" s="17" t="n"/>
      <c r="E30" s="17" t="n"/>
      <c r="F30" s="17" t="n"/>
    </row>
    <row r="31">
      <c r="A31" s="17" t="n"/>
      <c r="B31" s="17" t="n"/>
      <c r="C31" s="17" t="n"/>
      <c r="D31" s="17" t="n"/>
      <c r="E31" s="17" t="n"/>
      <c r="F31" s="17" t="n"/>
    </row>
    <row r="32">
      <c r="A32" s="17" t="n"/>
      <c r="B32" s="17" t="n"/>
      <c r="C32" s="17" t="n"/>
      <c r="D32" s="17" t="n"/>
      <c r="E32" s="17" t="n"/>
      <c r="F32" s="17" t="n"/>
    </row>
    <row r="33">
      <c r="A33" s="17" t="n"/>
      <c r="B33" s="17" t="n"/>
      <c r="C33" s="17" t="n"/>
      <c r="D33" s="17" t="n"/>
      <c r="E33" s="17" t="n"/>
      <c r="F33" s="17" t="n"/>
    </row>
    <row r="34">
      <c r="A34" s="17" t="n"/>
      <c r="B34" s="17" t="n"/>
      <c r="C34" s="17" t="n"/>
      <c r="D34" s="17" t="n"/>
      <c r="E34" s="17" t="n"/>
      <c r="F34" s="17" t="n"/>
    </row>
    <row r="35">
      <c r="A35" s="17" t="n"/>
      <c r="B35" s="17" t="n"/>
      <c r="C35" s="17" t="n"/>
      <c r="D35" s="17" t="n"/>
      <c r="E35" s="17" t="n"/>
      <c r="F35" s="17" t="n"/>
    </row>
    <row r="36">
      <c r="A36" s="17" t="n"/>
      <c r="B36" s="17" t="n"/>
      <c r="C36" s="17" t="n"/>
      <c r="D36" s="17" t="n"/>
      <c r="E36" s="17" t="n"/>
      <c r="F36" s="17" t="n"/>
    </row>
    <row r="37">
      <c r="A37" s="17" t="n"/>
      <c r="B37" s="17" t="n"/>
      <c r="C37" s="17" t="n"/>
      <c r="D37" s="17" t="n"/>
      <c r="E37" s="17" t="n"/>
      <c r="F37" s="17" t="n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10" customWidth="1" min="2" max="2"/>
  </cols>
  <sheetData>
    <row r="1" ht="24" customHeight="1">
      <c r="A1" s="19" t="inlineStr">
        <is>
          <t>MODE D'EMPLOI — REGISTRE TRUCK STOP SANTÉ × ARPQ</t>
        </is>
      </c>
    </row>
    <row r="2">
      <c r="A2" s="10" t="inlineStr"/>
      <c r="B2" s="20" t="inlineStr"/>
    </row>
    <row r="3">
      <c r="A3" s="21" t="inlineStr">
        <is>
          <t>CÔTÉ ARPQ (colonnes JAUNES de l'onglet Registre)</t>
        </is>
      </c>
      <c r="B3" s="20" t="inlineStr"/>
    </row>
    <row r="4">
      <c r="A4" s="10" t="inlineStr">
        <is>
          <t>1.</t>
        </is>
      </c>
      <c r="B4" s="20" t="inlineStr">
        <is>
          <t>Ajouter une ligne par personne couverte — un membre OU un membre de sa famille (18 ans et plus). Chaque personne compte pour une place.</t>
        </is>
      </c>
    </row>
    <row r="5">
      <c r="A5" s="10" t="inlineStr">
        <is>
          <t>2.</t>
        </is>
      </c>
      <c r="B5" s="20" t="inlineStr">
        <is>
          <t>Statut « Actif » dès que la personne est couverte par le paiement de l'ARPQ.</t>
        </is>
      </c>
    </row>
    <row r="6">
      <c r="A6" s="10" t="inlineStr">
        <is>
          <t>3.</t>
        </is>
      </c>
      <c r="B6" s="20" t="inlineStr">
        <is>
          <t>Quand une personne cesse d'être couverte (départ, non-paiement des cotisations) : Statut « Grâce 90 jours » + inscrire la Date de retrait. La colonne « Fin de grâce » se calcule seule.</t>
        </is>
      </c>
    </row>
    <row r="7">
      <c r="A7" s="10" t="inlineStr">
        <is>
          <t>4.</t>
        </is>
      </c>
      <c r="B7" s="20" t="inlineStr">
        <is>
          <t>Ne jamais effacer une ligne — passer le statut à « Retiré » après la grâce.</t>
        </is>
      </c>
    </row>
    <row r="8">
      <c r="A8" s="10" t="inlineStr"/>
      <c r="B8" s="20" t="inlineStr"/>
    </row>
    <row r="9">
      <c r="A9" s="21" t="inlineStr">
        <is>
          <t>CÔTÉ CLINIQUE (colonnes BLEU PÂLE)</t>
        </is>
      </c>
      <c r="B9" s="20" t="inlineStr"/>
    </row>
    <row r="10">
      <c r="A10" s="10" t="inlineStr">
        <is>
          <t>5.</t>
        </is>
      </c>
      <c r="B10" s="20" t="inlineStr">
        <is>
          <t>Règle d'or : aucun nom au registre payé = aucune invitation Spruce.</t>
        </is>
      </c>
    </row>
    <row r="11">
      <c r="A11" s="10" t="inlineStr">
        <is>
          <t>6.</t>
        </is>
      </c>
      <c r="B11" s="20" t="inlineStr">
        <is>
          <t>Chaque jour : onglet Facturation, case « Invitations à faire » → envoyer l'invitation Spruce + le courriel modèle (brouillon Gmail « MODÈLE — Bienvenue ») → marquer Invité = Oui + date.</t>
        </is>
      </c>
    </row>
    <row r="12">
      <c r="A12" s="10" t="inlineStr">
        <is>
          <t>7.</t>
        </is>
      </c>
      <c r="B12" s="20" t="inlineStr">
        <is>
          <t>À la Fin de grâce : désactiver la personne dans Spruce, passer le statut à « Retiré ».</t>
        </is>
      </c>
    </row>
    <row r="13">
      <c r="A13" s="10" t="inlineStr">
        <is>
          <t>8.</t>
        </is>
      </c>
      <c r="B13" s="20" t="inlineStr">
        <is>
          <t>Chaque début de mois : figer les chiffres dans l'HISTORIQUE (onglet Facturation) et envoyer la facture Stripe à l'ARPQ (personnes actives × tarif).</t>
        </is>
      </c>
    </row>
    <row r="14">
      <c r="A14" s="10" t="inlineStr"/>
      <c r="B14" s="20" t="inlineStr"/>
    </row>
    <row r="15">
      <c r="A15" s="21" t="inlineStr">
        <is>
          <t>PARTAGE</t>
        </is>
      </c>
      <c r="B15" s="20" t="inlineStr"/>
    </row>
    <row r="16">
      <c r="A16" s="10" t="inlineStr">
        <is>
          <t>9.</t>
        </is>
      </c>
      <c r="B16" s="20" t="inlineStr">
        <is>
          <t>Une fois converti en Google Sheet : Partager → cff@centremedicalfont.ca (Éditeur) + la personne-ressource ARPQ (Éditeur). Personne d'autre.</t>
        </is>
      </c>
    </row>
    <row r="17">
      <c r="A17" s="10" t="inlineStr">
        <is>
          <t>10.</t>
        </is>
      </c>
      <c r="B17" s="20" t="inlineStr">
        <is>
          <t>Les données de santé ne vont JAMAIS dans ce fichier — seulement l'identité et les coordonnées (Loi 25 : minimisation).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2026-08-31T21:24:43Z</dcterms:created>
  <dcterms:modified xsi:type="dcterms:W3CDTF">2026-08-31T21:35:45Z</dcterms:modified>
</cp:coreProperties>
</file>