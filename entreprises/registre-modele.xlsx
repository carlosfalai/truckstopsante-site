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arlos Faviel Font\truckstopsante-site\entreprises\"/>
    </mc:Choice>
  </mc:AlternateContent>
  <xr:revisionPtr revIDLastSave="0" documentId="13_ncr:1_{BF0DC88B-A700-4848-B60C-68E0047C682B}" xr6:coauthVersionLast="47" xr6:coauthVersionMax="47" xr10:uidLastSave="{00000000-0000-0000-0000-000000000000}"/>
  <bookViews>
    <workbookView xWindow="-108" yWindow="-108" windowWidth="30936" windowHeight="18696" activeTab="3" xr2:uid="{00000000-000D-0000-FFFF-FFFF00000000}"/>
  </bookViews>
  <sheets>
    <sheet name="Registre" sheetId="1" r:id="rId1"/>
    <sheet name="Facturation" sheetId="2" r:id="rId2"/>
    <sheet name="Instructions" sheetId="3" r:id="rId3"/>
    <sheet name="Accès gratui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7" i="4" s="1"/>
  <c r="B5" i="4"/>
  <c r="B3" i="4"/>
  <c r="C13" i="2"/>
  <c r="B8" i="2"/>
  <c r="B7" i="2"/>
  <c r="B6" i="2"/>
  <c r="B5" i="2"/>
  <c r="B9" i="2" s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</calcChain>
</file>

<file path=xl/sharedStrings.xml><?xml version="1.0" encoding="utf-8"?>
<sst xmlns="http://schemas.openxmlformats.org/spreadsheetml/2006/main" count="96" uniqueCount="91">
  <si>
    <t>#</t>
  </si>
  <si>
    <t>Statut</t>
  </si>
  <si>
    <t>Type</t>
  </si>
  <si>
    <t>Membre principal (si Famille)</t>
  </si>
  <si>
    <t>Prénom</t>
  </si>
  <si>
    <t>Nom</t>
  </si>
  <si>
    <t>Courriel</t>
  </si>
  <si>
    <t>Cellulaire (texto)</t>
  </si>
  <si>
    <t>Date d'ajout</t>
  </si>
  <si>
    <t>Date de retrait</t>
  </si>
  <si>
    <t>Fin de grâce (auto)</t>
  </si>
  <si>
    <t>Invité Spruce</t>
  </si>
  <si>
    <t>Date d'invitation</t>
  </si>
  <si>
    <t>Panel (médecin)</t>
  </si>
  <si>
    <t>Notes</t>
  </si>
  <si>
    <t>Actif</t>
  </si>
  <si>
    <t>Membre</t>
  </si>
  <si>
    <t>Jean</t>
  </si>
  <si>
    <t>Tremblay</t>
  </si>
  <si>
    <t>jean.tremblay@exemple.com</t>
  </si>
  <si>
    <t>514 555-0199</t>
  </si>
  <si>
    <t>2026-09-15</t>
  </si>
  <si>
    <t>Oui</t>
  </si>
  <si>
    <t>2026-09-16</t>
  </si>
  <si>
    <t>Dr Font</t>
  </si>
  <si>
    <t>EXEMPLE — supprimer cette ligne</t>
  </si>
  <si>
    <t>Astuce : sélectionnez la ligne 5 au complet et glissez vers le bas pour étendre couleurs et formule « Fin de grâce ».</t>
  </si>
  <si>
    <t>Tarif mensuel par personne couverte</t>
  </si>
  <si>
    <t>Personnes ACTIVES (facturables), en direct :</t>
  </si>
  <si>
    <t>Personnes en GRÂCE 90 jours (non facturées) :</t>
  </si>
  <si>
    <t>Personnes RETIRÉES :</t>
  </si>
  <si>
    <t>Invitations Spruce À FAIRE (actifs non invités) :</t>
  </si>
  <si>
    <t>MONTANT DU MOIS EN COURS :</t>
  </si>
  <si>
    <t>HISTORIQUE (chaque mois : recopier les chiffres du haut en VALEURS au moment d'envoyer la facture Stripe)</t>
  </si>
  <si>
    <t>Mois (aaaa-mm)</t>
  </si>
  <si>
    <t>Personnes actives</t>
  </si>
  <si>
    <t>Montant facturé</t>
  </si>
  <si>
    <t>Facture envoyée le</t>
  </si>
  <si>
    <t>Payée le</t>
  </si>
  <si>
    <t>2026-09</t>
  </si>
  <si>
    <t>2026-09-01</t>
  </si>
  <si>
    <t>2026-09-04</t>
  </si>
  <si>
    <t>EXEMPLE — supprimer</t>
  </si>
  <si>
    <t>1.</t>
  </si>
  <si>
    <t>Ajouter une ligne par personne couverte — un membre OU un membre de sa famille (18 ans et plus). Chaque personne compte pour une place.</t>
  </si>
  <si>
    <t>1b.</t>
  </si>
  <si>
    <t>OBLIGATOIRE pour l'invitation Spruce — pour CHAQUE personne (membre ET famille) : prénom + nom, CELLULAIRE pouvant recevoir des textos, et courriel. Sans ces trois informations, pas d'invitation possible.</t>
  </si>
  <si>
    <t>2.</t>
  </si>
  <si>
    <t>3.</t>
  </si>
  <si>
    <t>Quand une personne cesse d'être couverte (départ, non-paiement des cotisations) : Statut « Grâce 90 jours » + inscrire la Date de retrait. La colonne « Fin de grâce » se calcule seule.</t>
  </si>
  <si>
    <t>4.</t>
  </si>
  <si>
    <t>Ne jamais effacer une ligne — passer le statut à « Retiré » après la grâce.</t>
  </si>
  <si>
    <t>CÔTÉ CLINIQUE (colonnes BLEU PÂLE)</t>
  </si>
  <si>
    <t>5.</t>
  </si>
  <si>
    <t>Règle d'or : aucun nom au registre payé = aucune invitation Spruce.</t>
  </si>
  <si>
    <t>6.</t>
  </si>
  <si>
    <t>Chaque jour : onglet Facturation, case « Invitations à faire » → envoyer l'invitation Spruce + le courriel modèle (brouillon Gmail « MODÈLE — Bienvenue ») → marquer Invité = Oui + date.</t>
  </si>
  <si>
    <t>7.</t>
  </si>
  <si>
    <t>À la Fin de grâce : désactiver la personne dans Spruce, passer le statut à « Retiré ».</t>
  </si>
  <si>
    <t>8.</t>
  </si>
  <si>
    <t>PARTAGE</t>
  </si>
  <si>
    <t>9.</t>
  </si>
  <si>
    <t>10.</t>
  </si>
  <si>
    <t>Les données de santé ne vont JAMAIS dans ce fichier — seulement l'identité et les coordonnées (Loi 25 : minimisation).</t>
  </si>
  <si>
    <t>No employé</t>
  </si>
  <si>
    <t>JAUNE = rempli par l'entreprise (ajouts et retraits) · BLEU PÂLE = rempli par la clinique (invitations, panels) · Règle : aucun nom au registre payé = aucune invitation Spruce · La ligne 4 est un EXEMPLE — la supprimer avant usage réel</t>
  </si>
  <si>
    <t>TRUCK STOP SANTÉ × ENTREPRISE — REGISTRE DES PERSONNES COUVERTES</t>
  </si>
  <si>
    <t>ENTREPRISE-00123</t>
  </si>
  <si>
    <t>← Hypothèse fournie par Dr Font (tarif fixe de l'entente d'entreprise). Modifier seulement si l'entente change.</t>
  </si>
  <si>
    <t>Statut « Actif » dès que la personne est couverte par le paiement de l'entreprise.</t>
  </si>
  <si>
    <t>Chaque début de mois : figer les chiffres dans l'HISTORIQUE (onglet Facturation) et envoyer la facture Stripe à l'entreprise (personnes actives × tarif).</t>
  </si>
  <si>
    <t>CÔTÉ ENTREPRISE (colonnes JAUNES de l'onglet Registre)</t>
  </si>
  <si>
    <t>Une fois converti en Google Sheet : Partager → cff@centremedicalfont.ca (Éditeur) + la personne-ressource de l'entreprise (Éditeur). Personne d'autre.</t>
  </si>
  <si>
    <t>MODE D'EMPLOI — REGISTRE TRUCK STOP SANTÉ × ENTREPRISE</t>
  </si>
  <si>
    <t>FACTURATION MENSUELLE — LA CLINIQUE FACTURE L'ENTREPRISE (les membres ne paient jamais la clinique)</t>
  </si>
  <si>
    <t>BANQUE DE CONSULTATIONS GRATUITES - POUR QUI l'entreprise VEUT (pas besoin de payer, envoyez-les-nous)</t>
  </si>
  <si>
    <t>Personnes ACTIVES au registre (en direct) :</t>
  </si>
  <si>
    <t>Règle : 5 consultations gratuites par mois par tranche de 100 personnes couvertes (1 000 = 50)</t>
  </si>
  <si>
    <t>CONSULTATIONS GRATUITES DISPONIBLES CE MOIS :</t>
  </si>
  <si>
    <t>Utilisées ce mois (compte automatique des lignes du mois courant) :</t>
  </si>
  <si>
    <t>Restantes ce mois :</t>
  </si>
  <si>
    <t>Date d'envoi</t>
  </si>
  <si>
    <t>Envoyé par (ARPQ / entreprise)</t>
  </si>
  <si>
    <t>Invité Spruce le</t>
  </si>
  <si>
    <t>Notes (jamais de données de santé)</t>
  </si>
  <si>
    <t>Marc</t>
  </si>
  <si>
    <t>Exemple</t>
  </si>
  <si>
    <t>514 555-0100</t>
  </si>
  <si>
    <t>marc@exemple.com</t>
  </si>
  <si>
    <t>Steve B.</t>
  </si>
  <si>
    <t>EXEMPLE - supprimer cette ligne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</si>
</sst>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\ \$"/>
  </numFmts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1"/>
      <name val="Arial"/>
      <family val="2"/>
    </font>
    <font>
      <b/>
      <sz val="12"/>
      <color rgb="FFFFFFFF"/>
      <name val="Arial"/>
      <family val="2"/>
    </font>
    <font>
      <b/>
      <i/>
      <sz val="10"/>
      <name val="Arial"/>
      <family val="2"/>
    </font>
    <font>
      <b/>
      <sz val="11"/>
      <color rgb="FF14264A"/>
      <name val="Arial"/>
      <family val="2"/>
    </font>
    <font>
      <sz val="11"/>
      <name val="Calibri"/>
      <family val="2"/>
    </font>
    <font>
      <b/>
      <sz val="10"/>
      <color rgb="FFC00000"/>
      <name val="Arial"/>
      <family val="2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4264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CE9F7"/>
      </patternFill>
    </fill>
    <fill>
      <patternFill patternType="solid">
        <fgColor rgb="FFFFFF00"/>
      </patternFill>
    </fill>
    <fill>
      <patternFill patternType="solid">
        <fgColor rgb="FFF59E0B"/>
      </patternFill>
    </fill>
    <fill>
      <patternFill patternType="solid">
        <fgColor rgb="FF14264A"/>
        <bgColor indexed="64"/>
      </patternFill>
    </fill>
    <fill>
      <patternFill patternType="solid">
        <fgColor rgb="FFF59E0B"/>
        <bgColor indexed="64"/>
      </patternFill>
    </fill>
  </fills>
  <borders count="3">
    <border>
      <left/>
      <right/>
      <top/>
      <bottom/>
      <diagonal/>
    </border>
    <border>
      <left style="thin">
        <color rgb="FFD9E0EA"/>
      </left>
      <right style="thin">
        <color rgb="FFD9E0EA"/>
      </right>
      <top style="thin">
        <color rgb="FFD9E0EA"/>
      </top>
      <bottom style="thin">
        <color rgb="FFD9E0EA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164" fontId="4" fillId="4" borderId="1" xfId="0" applyNumberFormat="1" applyFont="1" applyFill="1" applyBorder="1"/>
    <xf numFmtId="164" fontId="4" fillId="0" borderId="1" xfId="0" applyNumberFormat="1" applyFont="1" applyBorder="1"/>
    <xf numFmtId="0" fontId="4" fillId="5" borderId="1" xfId="0" applyFont="1" applyFill="1" applyBorder="1"/>
    <xf numFmtId="164" fontId="4" fillId="5" borderId="1" xfId="0" applyNumberFormat="1" applyFont="1" applyFill="1" applyBorder="1"/>
    <xf numFmtId="0" fontId="6" fillId="0" borderId="0" xfId="0" applyFont="1"/>
    <xf numFmtId="165" fontId="7" fillId="6" borderId="0" xfId="0" applyNumberFormat="1" applyFont="1" applyFill="1"/>
    <xf numFmtId="0" fontId="2" fillId="0" borderId="0" xfId="0" applyFont="1"/>
    <xf numFmtId="0" fontId="8" fillId="0" borderId="0" xfId="0" applyFont="1"/>
    <xf numFmtId="165" fontId="9" fillId="7" borderId="0" xfId="0" applyNumberFormat="1" applyFont="1" applyFill="1"/>
    <xf numFmtId="0" fontId="10" fillId="0" borderId="0" xfId="0" applyFont="1"/>
    <xf numFmtId="0" fontId="3" fillId="2" borderId="1" xfId="0" applyFont="1" applyFill="1" applyBorder="1"/>
    <xf numFmtId="0" fontId="4" fillId="0" borderId="1" xfId="0" applyFont="1" applyBorder="1"/>
    <xf numFmtId="165" fontId="4" fillId="0" borderId="1" xfId="0" applyNumberFormat="1" applyFont="1" applyBorder="1"/>
    <xf numFmtId="0" fontId="4" fillId="0" borderId="0" xfId="0" applyFont="1" applyAlignment="1">
      <alignment vertical="top" wrapText="1"/>
    </xf>
    <xf numFmtId="0" fontId="11" fillId="0" borderId="0" xfId="0" applyFont="1"/>
    <xf numFmtId="0" fontId="12" fillId="0" borderId="2" xfId="0" applyFont="1" applyBorder="1"/>
    <xf numFmtId="0" fontId="13" fillId="0" borderId="0" xfId="0" applyFont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0" fontId="15" fillId="8" borderId="0" xfId="0" applyFont="1" applyFill="1"/>
    <xf numFmtId="0" fontId="0" fillId="8" borderId="0" xfId="0" applyFill="1"/>
    <xf numFmtId="0" fontId="14" fillId="0" borderId="0" xfId="0" applyFont="1"/>
    <xf numFmtId="0" fontId="14" fillId="9" borderId="0" xfId="0" applyFont="1" applyFill="1"/>
    <xf numFmtId="0" fontId="16" fillId="8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3"/>
  <sheetViews>
    <sheetView workbookViewId="0">
      <pane ySplit="3" topLeftCell="A4" activePane="bottomLeft" state="frozen"/>
      <selection pane="bottomLeft" sqref="A1:P1"/>
    </sheetView>
  </sheetViews>
  <sheetFormatPr defaultRowHeight="14.4" x14ac:dyDescent="0.3"/>
  <cols>
    <col min="1" max="1" width="5" customWidth="1"/>
    <col min="2" max="2" width="14" customWidth="1"/>
    <col min="3" max="3" width="10" customWidth="1"/>
    <col min="4" max="4" width="22" customWidth="1"/>
    <col min="5" max="5" width="14" customWidth="1"/>
    <col min="6" max="6" width="16" customWidth="1"/>
    <col min="7" max="7" width="30" customWidth="1"/>
    <col min="8" max="9" width="15" customWidth="1"/>
    <col min="10" max="11" width="12" customWidth="1"/>
    <col min="12" max="12" width="14" customWidth="1"/>
    <col min="13" max="13" width="11" customWidth="1"/>
    <col min="14" max="15" width="14" customWidth="1"/>
    <col min="16" max="16" width="28" customWidth="1"/>
  </cols>
  <sheetData>
    <row r="1" spans="1:16" ht="28.05" customHeight="1" x14ac:dyDescent="0.3">
      <c r="A1" s="20" t="s">
        <v>66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30" customHeight="1" x14ac:dyDescent="0.3">
      <c r="A2" s="22" t="s">
        <v>65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</row>
    <row r="3" spans="1:16" ht="30" customHeight="1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64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</row>
    <row r="4" spans="1:16" x14ac:dyDescent="0.3">
      <c r="A4" s="2">
        <v>1</v>
      </c>
      <c r="B4" s="2" t="s">
        <v>15</v>
      </c>
      <c r="C4" s="2" t="s">
        <v>16</v>
      </c>
      <c r="D4" s="2"/>
      <c r="E4" s="2" t="s">
        <v>17</v>
      </c>
      <c r="F4" s="2" t="s">
        <v>18</v>
      </c>
      <c r="G4" s="2" t="s">
        <v>19</v>
      </c>
      <c r="H4" s="2" t="s">
        <v>20</v>
      </c>
      <c r="I4" s="2" t="s">
        <v>67</v>
      </c>
      <c r="J4" s="3" t="s">
        <v>21</v>
      </c>
      <c r="K4" s="3"/>
      <c r="L4" s="4" t="str">
        <f t="shared" ref="L4:L35" si="0">IF($K4="","",$K4+90)</f>
        <v/>
      </c>
      <c r="M4" s="5" t="s">
        <v>22</v>
      </c>
      <c r="N4" s="6" t="s">
        <v>23</v>
      </c>
      <c r="O4" s="5" t="s">
        <v>24</v>
      </c>
      <c r="P4" s="5" t="s">
        <v>25</v>
      </c>
    </row>
    <row r="5" spans="1:16" x14ac:dyDescent="0.3">
      <c r="A5" s="2"/>
      <c r="B5" s="2"/>
      <c r="C5" s="2"/>
      <c r="D5" s="2"/>
      <c r="E5" s="2"/>
      <c r="F5" s="2"/>
      <c r="G5" s="2"/>
      <c r="H5" s="2"/>
      <c r="I5" s="2"/>
      <c r="J5" s="3"/>
      <c r="K5" s="3"/>
      <c r="L5" s="4" t="str">
        <f t="shared" si="0"/>
        <v/>
      </c>
      <c r="M5" s="5"/>
      <c r="N5" s="6"/>
      <c r="O5" s="5"/>
      <c r="P5" s="5" t="s">
        <v>26</v>
      </c>
    </row>
    <row r="6" spans="1:16" x14ac:dyDescent="0.3">
      <c r="A6" s="2"/>
      <c r="B6" s="2"/>
      <c r="C6" s="2"/>
      <c r="D6" s="2"/>
      <c r="E6" s="2"/>
      <c r="F6" s="2"/>
      <c r="G6" s="2"/>
      <c r="H6" s="2"/>
      <c r="I6" s="2"/>
      <c r="J6" s="3"/>
      <c r="K6" s="3"/>
      <c r="L6" s="4" t="str">
        <f t="shared" si="0"/>
        <v/>
      </c>
      <c r="M6" s="5"/>
      <c r="N6" s="6"/>
      <c r="O6" s="5"/>
      <c r="P6" s="5"/>
    </row>
    <row r="7" spans="1:16" x14ac:dyDescent="0.3">
      <c r="A7" s="2"/>
      <c r="B7" s="2"/>
      <c r="C7" s="2"/>
      <c r="D7" s="2"/>
      <c r="E7" s="2"/>
      <c r="F7" s="2"/>
      <c r="G7" s="2"/>
      <c r="H7" s="2"/>
      <c r="I7" s="2"/>
      <c r="J7" s="3"/>
      <c r="K7" s="3"/>
      <c r="L7" s="4" t="str">
        <f t="shared" si="0"/>
        <v/>
      </c>
      <c r="M7" s="5"/>
      <c r="N7" s="6"/>
      <c r="O7" s="5"/>
      <c r="P7" s="5"/>
    </row>
    <row r="8" spans="1:16" x14ac:dyDescent="0.3">
      <c r="A8" s="2"/>
      <c r="B8" s="2"/>
      <c r="C8" s="2"/>
      <c r="D8" s="2"/>
      <c r="E8" s="2"/>
      <c r="F8" s="2"/>
      <c r="G8" s="2"/>
      <c r="H8" s="2"/>
      <c r="I8" s="2"/>
      <c r="J8" s="3"/>
      <c r="K8" s="3"/>
      <c r="L8" s="4" t="str">
        <f t="shared" si="0"/>
        <v/>
      </c>
      <c r="M8" s="5"/>
      <c r="N8" s="6"/>
      <c r="O8" s="5"/>
      <c r="P8" s="5"/>
    </row>
    <row r="9" spans="1:16" x14ac:dyDescent="0.3">
      <c r="A9" s="2"/>
      <c r="B9" s="2"/>
      <c r="C9" s="2"/>
      <c r="D9" s="2"/>
      <c r="E9" s="2"/>
      <c r="F9" s="2"/>
      <c r="G9" s="2"/>
      <c r="H9" s="2"/>
      <c r="I9" s="2"/>
      <c r="J9" s="3"/>
      <c r="K9" s="3"/>
      <c r="L9" s="4" t="str">
        <f t="shared" si="0"/>
        <v/>
      </c>
      <c r="M9" s="5"/>
      <c r="N9" s="6"/>
      <c r="O9" s="5"/>
      <c r="P9" s="5"/>
    </row>
    <row r="10" spans="1:16" x14ac:dyDescent="0.3">
      <c r="A10" s="2"/>
      <c r="B10" s="2"/>
      <c r="C10" s="2"/>
      <c r="D10" s="2"/>
      <c r="E10" s="2"/>
      <c r="F10" s="2"/>
      <c r="G10" s="2"/>
      <c r="H10" s="2"/>
      <c r="I10" s="2"/>
      <c r="J10" s="3"/>
      <c r="K10" s="3"/>
      <c r="L10" s="4" t="str">
        <f t="shared" si="0"/>
        <v/>
      </c>
      <c r="M10" s="5"/>
      <c r="N10" s="6"/>
      <c r="O10" s="5"/>
      <c r="P10" s="5"/>
    </row>
    <row r="11" spans="1:16" x14ac:dyDescent="0.3">
      <c r="A11" s="2"/>
      <c r="B11" s="2"/>
      <c r="C11" s="2"/>
      <c r="D11" s="2"/>
      <c r="E11" s="2"/>
      <c r="F11" s="2"/>
      <c r="G11" s="2"/>
      <c r="H11" s="2"/>
      <c r="I11" s="2"/>
      <c r="J11" s="3"/>
      <c r="K11" s="3"/>
      <c r="L11" s="4" t="str">
        <f t="shared" si="0"/>
        <v/>
      </c>
      <c r="M11" s="5"/>
      <c r="N11" s="6"/>
      <c r="O11" s="5"/>
      <c r="P11" s="5"/>
    </row>
    <row r="12" spans="1:16" x14ac:dyDescent="0.3">
      <c r="A12" s="2"/>
      <c r="B12" s="2"/>
      <c r="C12" s="2"/>
      <c r="D12" s="2"/>
      <c r="E12" s="2"/>
      <c r="F12" s="2"/>
      <c r="G12" s="2"/>
      <c r="H12" s="2"/>
      <c r="I12" s="2"/>
      <c r="J12" s="3"/>
      <c r="K12" s="3"/>
      <c r="L12" s="4" t="str">
        <f t="shared" si="0"/>
        <v/>
      </c>
      <c r="M12" s="5"/>
      <c r="N12" s="6"/>
      <c r="O12" s="5"/>
      <c r="P12" s="5"/>
    </row>
    <row r="13" spans="1:16" x14ac:dyDescent="0.3">
      <c r="A13" s="2"/>
      <c r="B13" s="2"/>
      <c r="C13" s="2"/>
      <c r="D13" s="2"/>
      <c r="E13" s="2"/>
      <c r="F13" s="2"/>
      <c r="G13" s="2"/>
      <c r="H13" s="2"/>
      <c r="I13" s="2"/>
      <c r="J13" s="3"/>
      <c r="K13" s="3"/>
      <c r="L13" s="4" t="str">
        <f t="shared" si="0"/>
        <v/>
      </c>
      <c r="M13" s="5"/>
      <c r="N13" s="6"/>
      <c r="O13" s="5"/>
      <c r="P13" s="5"/>
    </row>
    <row r="14" spans="1:16" x14ac:dyDescent="0.3">
      <c r="A14" s="2"/>
      <c r="B14" s="2"/>
      <c r="C14" s="2"/>
      <c r="D14" s="2"/>
      <c r="E14" s="2"/>
      <c r="F14" s="2"/>
      <c r="G14" s="2"/>
      <c r="H14" s="2"/>
      <c r="I14" s="2"/>
      <c r="J14" s="3"/>
      <c r="K14" s="3"/>
      <c r="L14" s="4" t="str">
        <f t="shared" si="0"/>
        <v/>
      </c>
      <c r="M14" s="5"/>
      <c r="N14" s="6"/>
      <c r="O14" s="5"/>
      <c r="P14" s="5"/>
    </row>
    <row r="15" spans="1:16" x14ac:dyDescent="0.3">
      <c r="A15" s="2"/>
      <c r="B15" s="2"/>
      <c r="C15" s="2"/>
      <c r="D15" s="2"/>
      <c r="E15" s="2"/>
      <c r="F15" s="2"/>
      <c r="G15" s="2"/>
      <c r="H15" s="2"/>
      <c r="I15" s="2"/>
      <c r="J15" s="3"/>
      <c r="K15" s="3"/>
      <c r="L15" s="4" t="str">
        <f t="shared" si="0"/>
        <v/>
      </c>
      <c r="M15" s="5"/>
      <c r="N15" s="6"/>
      <c r="O15" s="5"/>
      <c r="P15" s="5"/>
    </row>
    <row r="16" spans="1:16" x14ac:dyDescent="0.3">
      <c r="A16" s="2"/>
      <c r="B16" s="2"/>
      <c r="C16" s="2"/>
      <c r="D16" s="2"/>
      <c r="E16" s="2"/>
      <c r="F16" s="2"/>
      <c r="G16" s="2"/>
      <c r="H16" s="2"/>
      <c r="I16" s="2"/>
      <c r="J16" s="3"/>
      <c r="K16" s="3"/>
      <c r="L16" s="4" t="str">
        <f t="shared" si="0"/>
        <v/>
      </c>
      <c r="M16" s="5"/>
      <c r="N16" s="6"/>
      <c r="O16" s="5"/>
      <c r="P16" s="5"/>
    </row>
    <row r="17" spans="1:16" x14ac:dyDescent="0.3">
      <c r="A17" s="2"/>
      <c r="B17" s="2"/>
      <c r="C17" s="2"/>
      <c r="D17" s="2"/>
      <c r="E17" s="2"/>
      <c r="F17" s="2"/>
      <c r="G17" s="2"/>
      <c r="H17" s="2"/>
      <c r="I17" s="2"/>
      <c r="J17" s="3"/>
      <c r="K17" s="3"/>
      <c r="L17" s="4" t="str">
        <f t="shared" si="0"/>
        <v/>
      </c>
      <c r="M17" s="5"/>
      <c r="N17" s="6"/>
      <c r="O17" s="5"/>
      <c r="P17" s="5"/>
    </row>
    <row r="18" spans="1:16" x14ac:dyDescent="0.3">
      <c r="A18" s="2"/>
      <c r="B18" s="2"/>
      <c r="C18" s="2"/>
      <c r="D18" s="2"/>
      <c r="E18" s="2"/>
      <c r="F18" s="2"/>
      <c r="G18" s="2"/>
      <c r="H18" s="2"/>
      <c r="I18" s="2"/>
      <c r="J18" s="3"/>
      <c r="K18" s="3"/>
      <c r="L18" s="4" t="str">
        <f t="shared" si="0"/>
        <v/>
      </c>
      <c r="M18" s="5"/>
      <c r="N18" s="6"/>
      <c r="O18" s="5"/>
      <c r="P18" s="5"/>
    </row>
    <row r="19" spans="1:16" x14ac:dyDescent="0.3">
      <c r="A19" s="2"/>
      <c r="B19" s="2"/>
      <c r="C19" s="2"/>
      <c r="D19" s="2"/>
      <c r="E19" s="2"/>
      <c r="F19" s="2"/>
      <c r="G19" s="2"/>
      <c r="H19" s="2"/>
      <c r="I19" s="2"/>
      <c r="J19" s="3"/>
      <c r="K19" s="3"/>
      <c r="L19" s="4" t="str">
        <f t="shared" si="0"/>
        <v/>
      </c>
      <c r="M19" s="5"/>
      <c r="N19" s="6"/>
      <c r="O19" s="5"/>
      <c r="P19" s="5"/>
    </row>
    <row r="20" spans="1:16" x14ac:dyDescent="0.3">
      <c r="A20" s="2"/>
      <c r="B20" s="2"/>
      <c r="C20" s="2"/>
      <c r="D20" s="2"/>
      <c r="E20" s="2"/>
      <c r="F20" s="2"/>
      <c r="G20" s="2"/>
      <c r="H20" s="2"/>
      <c r="I20" s="2"/>
      <c r="J20" s="3"/>
      <c r="K20" s="3"/>
      <c r="L20" s="4" t="str">
        <f t="shared" si="0"/>
        <v/>
      </c>
      <c r="M20" s="5"/>
      <c r="N20" s="6"/>
      <c r="O20" s="5"/>
      <c r="P20" s="5"/>
    </row>
    <row r="21" spans="1:16" x14ac:dyDescent="0.3">
      <c r="A21" s="2"/>
      <c r="B21" s="2"/>
      <c r="C21" s="2"/>
      <c r="D21" s="2"/>
      <c r="E21" s="2"/>
      <c r="F21" s="2"/>
      <c r="G21" s="2"/>
      <c r="H21" s="2"/>
      <c r="I21" s="2"/>
      <c r="J21" s="3"/>
      <c r="K21" s="3"/>
      <c r="L21" s="4" t="str">
        <f t="shared" si="0"/>
        <v/>
      </c>
      <c r="M21" s="5"/>
      <c r="N21" s="6"/>
      <c r="O21" s="5"/>
      <c r="P21" s="5"/>
    </row>
    <row r="22" spans="1:16" x14ac:dyDescent="0.3">
      <c r="A22" s="2"/>
      <c r="B22" s="2"/>
      <c r="C22" s="2"/>
      <c r="D22" s="2"/>
      <c r="E22" s="2"/>
      <c r="F22" s="2"/>
      <c r="G22" s="2"/>
      <c r="H22" s="2"/>
      <c r="I22" s="2"/>
      <c r="J22" s="3"/>
      <c r="K22" s="3"/>
      <c r="L22" s="4" t="str">
        <f t="shared" si="0"/>
        <v/>
      </c>
      <c r="M22" s="5"/>
      <c r="N22" s="6"/>
      <c r="O22" s="5"/>
      <c r="P22" s="5"/>
    </row>
    <row r="23" spans="1:16" x14ac:dyDescent="0.3">
      <c r="A23" s="2"/>
      <c r="B23" s="2"/>
      <c r="C23" s="2"/>
      <c r="D23" s="2"/>
      <c r="E23" s="2"/>
      <c r="F23" s="2"/>
      <c r="G23" s="2"/>
      <c r="H23" s="2"/>
      <c r="I23" s="2"/>
      <c r="J23" s="3"/>
      <c r="K23" s="3"/>
      <c r="L23" s="4" t="str">
        <f t="shared" si="0"/>
        <v/>
      </c>
      <c r="M23" s="5"/>
      <c r="N23" s="6"/>
      <c r="O23" s="5"/>
      <c r="P23" s="5"/>
    </row>
    <row r="24" spans="1:16" x14ac:dyDescent="0.3">
      <c r="A24" s="2"/>
      <c r="B24" s="2"/>
      <c r="C24" s="2"/>
      <c r="D24" s="2"/>
      <c r="E24" s="2"/>
      <c r="F24" s="2"/>
      <c r="G24" s="2"/>
      <c r="H24" s="2"/>
      <c r="I24" s="2"/>
      <c r="J24" s="3"/>
      <c r="K24" s="3"/>
      <c r="L24" s="4" t="str">
        <f t="shared" si="0"/>
        <v/>
      </c>
      <c r="M24" s="5"/>
      <c r="N24" s="6"/>
      <c r="O24" s="5"/>
      <c r="P24" s="5"/>
    </row>
    <row r="25" spans="1:16" x14ac:dyDescent="0.3">
      <c r="A25" s="2"/>
      <c r="B25" s="2"/>
      <c r="C25" s="2"/>
      <c r="D25" s="2"/>
      <c r="E25" s="2"/>
      <c r="F25" s="2"/>
      <c r="G25" s="2"/>
      <c r="H25" s="2"/>
      <c r="I25" s="2"/>
      <c r="J25" s="3"/>
      <c r="K25" s="3"/>
      <c r="L25" s="4" t="str">
        <f t="shared" si="0"/>
        <v/>
      </c>
      <c r="M25" s="5"/>
      <c r="N25" s="6"/>
      <c r="O25" s="5"/>
      <c r="P25" s="5"/>
    </row>
    <row r="26" spans="1:16" x14ac:dyDescent="0.3">
      <c r="A26" s="2"/>
      <c r="B26" s="2"/>
      <c r="C26" s="2"/>
      <c r="D26" s="2"/>
      <c r="E26" s="2"/>
      <c r="F26" s="2"/>
      <c r="G26" s="2"/>
      <c r="H26" s="2"/>
      <c r="I26" s="2"/>
      <c r="J26" s="3"/>
      <c r="K26" s="3"/>
      <c r="L26" s="4" t="str">
        <f t="shared" si="0"/>
        <v/>
      </c>
      <c r="M26" s="5"/>
      <c r="N26" s="6"/>
      <c r="O26" s="5"/>
      <c r="P26" s="5"/>
    </row>
    <row r="27" spans="1:16" x14ac:dyDescent="0.3">
      <c r="A27" s="2"/>
      <c r="B27" s="2"/>
      <c r="C27" s="2"/>
      <c r="D27" s="2"/>
      <c r="E27" s="2"/>
      <c r="F27" s="2"/>
      <c r="G27" s="2"/>
      <c r="H27" s="2"/>
      <c r="I27" s="2"/>
      <c r="J27" s="3"/>
      <c r="K27" s="3"/>
      <c r="L27" s="4" t="str">
        <f t="shared" si="0"/>
        <v/>
      </c>
      <c r="M27" s="5"/>
      <c r="N27" s="6"/>
      <c r="O27" s="5"/>
      <c r="P27" s="5"/>
    </row>
    <row r="28" spans="1:16" x14ac:dyDescent="0.3">
      <c r="A28" s="2"/>
      <c r="B28" s="2"/>
      <c r="C28" s="2"/>
      <c r="D28" s="2"/>
      <c r="E28" s="2"/>
      <c r="F28" s="2"/>
      <c r="G28" s="2"/>
      <c r="H28" s="2"/>
      <c r="I28" s="2"/>
      <c r="J28" s="3"/>
      <c r="K28" s="3"/>
      <c r="L28" s="4" t="str">
        <f t="shared" si="0"/>
        <v/>
      </c>
      <c r="M28" s="5"/>
      <c r="N28" s="6"/>
      <c r="O28" s="5"/>
      <c r="P28" s="5"/>
    </row>
    <row r="29" spans="1:16" x14ac:dyDescent="0.3">
      <c r="A29" s="2"/>
      <c r="B29" s="2"/>
      <c r="C29" s="2"/>
      <c r="D29" s="2"/>
      <c r="E29" s="2"/>
      <c r="F29" s="2"/>
      <c r="G29" s="2"/>
      <c r="H29" s="2"/>
      <c r="I29" s="2"/>
      <c r="J29" s="3"/>
      <c r="K29" s="3"/>
      <c r="L29" s="4" t="str">
        <f t="shared" si="0"/>
        <v/>
      </c>
      <c r="M29" s="5"/>
      <c r="N29" s="6"/>
      <c r="O29" s="5"/>
      <c r="P29" s="5"/>
    </row>
    <row r="30" spans="1:16" x14ac:dyDescent="0.3">
      <c r="A30" s="2"/>
      <c r="B30" s="2"/>
      <c r="C30" s="2"/>
      <c r="D30" s="2"/>
      <c r="E30" s="2"/>
      <c r="F30" s="2"/>
      <c r="G30" s="2"/>
      <c r="H30" s="2"/>
      <c r="I30" s="2"/>
      <c r="J30" s="3"/>
      <c r="K30" s="3"/>
      <c r="L30" s="4" t="str">
        <f t="shared" si="0"/>
        <v/>
      </c>
      <c r="M30" s="5"/>
      <c r="N30" s="6"/>
      <c r="O30" s="5"/>
      <c r="P30" s="5"/>
    </row>
    <row r="31" spans="1:16" x14ac:dyDescent="0.3">
      <c r="A31" s="2"/>
      <c r="B31" s="2"/>
      <c r="C31" s="2"/>
      <c r="D31" s="2"/>
      <c r="E31" s="2"/>
      <c r="F31" s="2"/>
      <c r="G31" s="2"/>
      <c r="H31" s="2"/>
      <c r="I31" s="2"/>
      <c r="J31" s="3"/>
      <c r="K31" s="3"/>
      <c r="L31" s="4" t="str">
        <f t="shared" si="0"/>
        <v/>
      </c>
      <c r="M31" s="5"/>
      <c r="N31" s="6"/>
      <c r="O31" s="5"/>
      <c r="P31" s="5"/>
    </row>
    <row r="32" spans="1:16" x14ac:dyDescent="0.3">
      <c r="A32" s="2"/>
      <c r="B32" s="2"/>
      <c r="C32" s="2"/>
      <c r="D32" s="2"/>
      <c r="E32" s="2"/>
      <c r="F32" s="2"/>
      <c r="G32" s="2"/>
      <c r="H32" s="2"/>
      <c r="I32" s="2"/>
      <c r="J32" s="3"/>
      <c r="K32" s="3"/>
      <c r="L32" s="4" t="str">
        <f t="shared" si="0"/>
        <v/>
      </c>
      <c r="M32" s="5"/>
      <c r="N32" s="6"/>
      <c r="O32" s="5"/>
      <c r="P32" s="5"/>
    </row>
    <row r="33" spans="1:16" x14ac:dyDescent="0.3">
      <c r="A33" s="2"/>
      <c r="B33" s="2"/>
      <c r="C33" s="2"/>
      <c r="D33" s="2"/>
      <c r="E33" s="2"/>
      <c r="F33" s="2"/>
      <c r="G33" s="2"/>
      <c r="H33" s="2"/>
      <c r="I33" s="2"/>
      <c r="J33" s="3"/>
      <c r="K33" s="3"/>
      <c r="L33" s="4" t="str">
        <f t="shared" si="0"/>
        <v/>
      </c>
      <c r="M33" s="5"/>
      <c r="N33" s="6"/>
      <c r="O33" s="5"/>
      <c r="P33" s="5"/>
    </row>
    <row r="34" spans="1:16" x14ac:dyDescent="0.3">
      <c r="A34" s="2"/>
      <c r="B34" s="2"/>
      <c r="C34" s="2"/>
      <c r="D34" s="2"/>
      <c r="E34" s="2"/>
      <c r="F34" s="2"/>
      <c r="G34" s="2"/>
      <c r="H34" s="2"/>
      <c r="I34" s="2"/>
      <c r="J34" s="3"/>
      <c r="K34" s="3"/>
      <c r="L34" s="4" t="str">
        <f t="shared" si="0"/>
        <v/>
      </c>
      <c r="M34" s="5"/>
      <c r="N34" s="6"/>
      <c r="O34" s="5"/>
      <c r="P34" s="5"/>
    </row>
    <row r="35" spans="1:16" x14ac:dyDescent="0.3">
      <c r="A35" s="2"/>
      <c r="B35" s="2"/>
      <c r="C35" s="2"/>
      <c r="D35" s="2"/>
      <c r="E35" s="2"/>
      <c r="F35" s="2"/>
      <c r="G35" s="2"/>
      <c r="H35" s="2"/>
      <c r="I35" s="2"/>
      <c r="J35" s="3"/>
      <c r="K35" s="3"/>
      <c r="L35" s="4" t="str">
        <f t="shared" si="0"/>
        <v/>
      </c>
      <c r="M35" s="5"/>
      <c r="N35" s="6"/>
      <c r="O35" s="5"/>
      <c r="P35" s="5"/>
    </row>
    <row r="36" spans="1:16" x14ac:dyDescent="0.3">
      <c r="A36" s="2"/>
      <c r="B36" s="2"/>
      <c r="C36" s="2"/>
      <c r="D36" s="2"/>
      <c r="E36" s="2"/>
      <c r="F36" s="2"/>
      <c r="G36" s="2"/>
      <c r="H36" s="2"/>
      <c r="I36" s="2"/>
      <c r="J36" s="3"/>
      <c r="K36" s="3"/>
      <c r="L36" s="4" t="str">
        <f t="shared" ref="L36:L63" si="1">IF($K36="","",$K36+90)</f>
        <v/>
      </c>
      <c r="M36" s="5"/>
      <c r="N36" s="6"/>
      <c r="O36" s="5"/>
      <c r="P36" s="5"/>
    </row>
    <row r="37" spans="1:16" x14ac:dyDescent="0.3">
      <c r="A37" s="2"/>
      <c r="B37" s="2"/>
      <c r="C37" s="2"/>
      <c r="D37" s="2"/>
      <c r="E37" s="2"/>
      <c r="F37" s="2"/>
      <c r="G37" s="2"/>
      <c r="H37" s="2"/>
      <c r="I37" s="2"/>
      <c r="J37" s="3"/>
      <c r="K37" s="3"/>
      <c r="L37" s="4" t="str">
        <f t="shared" si="1"/>
        <v/>
      </c>
      <c r="M37" s="5"/>
      <c r="N37" s="6"/>
      <c r="O37" s="5"/>
      <c r="P37" s="5"/>
    </row>
    <row r="38" spans="1:16" x14ac:dyDescent="0.3">
      <c r="A38" s="2"/>
      <c r="B38" s="2"/>
      <c r="C38" s="2"/>
      <c r="D38" s="2"/>
      <c r="E38" s="2"/>
      <c r="F38" s="2"/>
      <c r="G38" s="2"/>
      <c r="H38" s="2"/>
      <c r="I38" s="2"/>
      <c r="J38" s="3"/>
      <c r="K38" s="3"/>
      <c r="L38" s="4" t="str">
        <f t="shared" si="1"/>
        <v/>
      </c>
      <c r="M38" s="5"/>
      <c r="N38" s="6"/>
      <c r="O38" s="5"/>
      <c r="P38" s="5"/>
    </row>
    <row r="39" spans="1:16" x14ac:dyDescent="0.3">
      <c r="A39" s="2"/>
      <c r="B39" s="2"/>
      <c r="C39" s="2"/>
      <c r="D39" s="2"/>
      <c r="E39" s="2"/>
      <c r="F39" s="2"/>
      <c r="G39" s="2"/>
      <c r="H39" s="2"/>
      <c r="I39" s="2"/>
      <c r="J39" s="3"/>
      <c r="K39" s="3"/>
      <c r="L39" s="4" t="str">
        <f t="shared" si="1"/>
        <v/>
      </c>
      <c r="M39" s="5"/>
      <c r="N39" s="6"/>
      <c r="O39" s="5"/>
      <c r="P39" s="5"/>
    </row>
    <row r="40" spans="1:16" x14ac:dyDescent="0.3">
      <c r="A40" s="2"/>
      <c r="B40" s="2"/>
      <c r="C40" s="2"/>
      <c r="D40" s="2"/>
      <c r="E40" s="2"/>
      <c r="F40" s="2"/>
      <c r="G40" s="2"/>
      <c r="H40" s="2"/>
      <c r="I40" s="2"/>
      <c r="J40" s="3"/>
      <c r="K40" s="3"/>
      <c r="L40" s="4" t="str">
        <f t="shared" si="1"/>
        <v/>
      </c>
      <c r="M40" s="5"/>
      <c r="N40" s="6"/>
      <c r="O40" s="5"/>
      <c r="P40" s="5"/>
    </row>
    <row r="41" spans="1:16" x14ac:dyDescent="0.3">
      <c r="A41" s="2"/>
      <c r="B41" s="2"/>
      <c r="C41" s="2"/>
      <c r="D41" s="2"/>
      <c r="E41" s="2"/>
      <c r="F41" s="2"/>
      <c r="G41" s="2"/>
      <c r="H41" s="2"/>
      <c r="I41" s="2"/>
      <c r="J41" s="3"/>
      <c r="K41" s="3"/>
      <c r="L41" s="4" t="str">
        <f t="shared" si="1"/>
        <v/>
      </c>
      <c r="M41" s="5"/>
      <c r="N41" s="6"/>
      <c r="O41" s="5"/>
      <c r="P41" s="5"/>
    </row>
    <row r="42" spans="1:16" x14ac:dyDescent="0.3">
      <c r="A42" s="2"/>
      <c r="B42" s="2"/>
      <c r="C42" s="2"/>
      <c r="D42" s="2"/>
      <c r="E42" s="2"/>
      <c r="F42" s="2"/>
      <c r="G42" s="2"/>
      <c r="H42" s="2"/>
      <c r="I42" s="2"/>
      <c r="J42" s="3"/>
      <c r="K42" s="3"/>
      <c r="L42" s="4" t="str">
        <f t="shared" si="1"/>
        <v/>
      </c>
      <c r="M42" s="5"/>
      <c r="N42" s="6"/>
      <c r="O42" s="5"/>
      <c r="P42" s="5"/>
    </row>
    <row r="43" spans="1:16" x14ac:dyDescent="0.3">
      <c r="A43" s="2"/>
      <c r="B43" s="2"/>
      <c r="C43" s="2"/>
      <c r="D43" s="2"/>
      <c r="E43" s="2"/>
      <c r="F43" s="2"/>
      <c r="G43" s="2"/>
      <c r="H43" s="2"/>
      <c r="I43" s="2"/>
      <c r="J43" s="3"/>
      <c r="K43" s="3"/>
      <c r="L43" s="4" t="str">
        <f t="shared" si="1"/>
        <v/>
      </c>
      <c r="M43" s="5"/>
      <c r="N43" s="6"/>
      <c r="O43" s="5"/>
      <c r="P43" s="5"/>
    </row>
    <row r="44" spans="1:16" x14ac:dyDescent="0.3">
      <c r="A44" s="2"/>
      <c r="B44" s="2"/>
      <c r="C44" s="2"/>
      <c r="D44" s="2"/>
      <c r="E44" s="2"/>
      <c r="F44" s="2"/>
      <c r="G44" s="2"/>
      <c r="H44" s="2"/>
      <c r="I44" s="2"/>
      <c r="J44" s="3"/>
      <c r="K44" s="3"/>
      <c r="L44" s="4" t="str">
        <f t="shared" si="1"/>
        <v/>
      </c>
      <c r="M44" s="5"/>
      <c r="N44" s="6"/>
      <c r="O44" s="5"/>
      <c r="P44" s="5"/>
    </row>
    <row r="45" spans="1:16" x14ac:dyDescent="0.3">
      <c r="A45" s="2"/>
      <c r="B45" s="2"/>
      <c r="C45" s="2"/>
      <c r="D45" s="2"/>
      <c r="E45" s="2"/>
      <c r="F45" s="2"/>
      <c r="G45" s="2"/>
      <c r="H45" s="2"/>
      <c r="I45" s="2"/>
      <c r="J45" s="3"/>
      <c r="K45" s="3"/>
      <c r="L45" s="4" t="str">
        <f t="shared" si="1"/>
        <v/>
      </c>
      <c r="M45" s="5"/>
      <c r="N45" s="6"/>
      <c r="O45" s="5"/>
      <c r="P45" s="5"/>
    </row>
    <row r="46" spans="1:16" x14ac:dyDescent="0.3">
      <c r="A46" s="2"/>
      <c r="B46" s="2"/>
      <c r="C46" s="2"/>
      <c r="D46" s="2"/>
      <c r="E46" s="2"/>
      <c r="F46" s="2"/>
      <c r="G46" s="2"/>
      <c r="H46" s="2"/>
      <c r="I46" s="2"/>
      <c r="J46" s="3"/>
      <c r="K46" s="3"/>
      <c r="L46" s="4" t="str">
        <f t="shared" si="1"/>
        <v/>
      </c>
      <c r="M46" s="5"/>
      <c r="N46" s="6"/>
      <c r="O46" s="5"/>
      <c r="P46" s="5"/>
    </row>
    <row r="47" spans="1:16" x14ac:dyDescent="0.3">
      <c r="A47" s="2"/>
      <c r="B47" s="2"/>
      <c r="C47" s="2"/>
      <c r="D47" s="2"/>
      <c r="E47" s="2"/>
      <c r="F47" s="2"/>
      <c r="G47" s="2"/>
      <c r="H47" s="2"/>
      <c r="I47" s="2"/>
      <c r="J47" s="3"/>
      <c r="K47" s="3"/>
      <c r="L47" s="4" t="str">
        <f t="shared" si="1"/>
        <v/>
      </c>
      <c r="M47" s="5"/>
      <c r="N47" s="6"/>
      <c r="O47" s="5"/>
      <c r="P47" s="5"/>
    </row>
    <row r="48" spans="1:16" x14ac:dyDescent="0.3">
      <c r="A48" s="2"/>
      <c r="B48" s="2"/>
      <c r="C48" s="2"/>
      <c r="D48" s="2"/>
      <c r="E48" s="2"/>
      <c r="F48" s="2"/>
      <c r="G48" s="2"/>
      <c r="H48" s="2"/>
      <c r="I48" s="2"/>
      <c r="J48" s="3"/>
      <c r="K48" s="3"/>
      <c r="L48" s="4" t="str">
        <f t="shared" si="1"/>
        <v/>
      </c>
      <c r="M48" s="5"/>
      <c r="N48" s="6"/>
      <c r="O48" s="5"/>
      <c r="P48" s="5"/>
    </row>
    <row r="49" spans="1:16" x14ac:dyDescent="0.3">
      <c r="A49" s="2"/>
      <c r="B49" s="2"/>
      <c r="C49" s="2"/>
      <c r="D49" s="2"/>
      <c r="E49" s="2"/>
      <c r="F49" s="2"/>
      <c r="G49" s="2"/>
      <c r="H49" s="2"/>
      <c r="I49" s="2"/>
      <c r="J49" s="3"/>
      <c r="K49" s="3"/>
      <c r="L49" s="4" t="str">
        <f t="shared" si="1"/>
        <v/>
      </c>
      <c r="M49" s="5"/>
      <c r="N49" s="6"/>
      <c r="O49" s="5"/>
      <c r="P49" s="5"/>
    </row>
    <row r="50" spans="1:16" x14ac:dyDescent="0.3">
      <c r="A50" s="2"/>
      <c r="B50" s="2"/>
      <c r="C50" s="2"/>
      <c r="D50" s="2"/>
      <c r="E50" s="2"/>
      <c r="F50" s="2"/>
      <c r="G50" s="2"/>
      <c r="H50" s="2"/>
      <c r="I50" s="2"/>
      <c r="J50" s="3"/>
      <c r="K50" s="3"/>
      <c r="L50" s="4" t="str">
        <f t="shared" si="1"/>
        <v/>
      </c>
      <c r="M50" s="5"/>
      <c r="N50" s="6"/>
      <c r="O50" s="5"/>
      <c r="P50" s="5"/>
    </row>
    <row r="51" spans="1:16" x14ac:dyDescent="0.3">
      <c r="A51" s="2"/>
      <c r="B51" s="2"/>
      <c r="C51" s="2"/>
      <c r="D51" s="2"/>
      <c r="E51" s="2"/>
      <c r="F51" s="2"/>
      <c r="G51" s="2"/>
      <c r="H51" s="2"/>
      <c r="I51" s="2"/>
      <c r="J51" s="3"/>
      <c r="K51" s="3"/>
      <c r="L51" s="4" t="str">
        <f t="shared" si="1"/>
        <v/>
      </c>
      <c r="M51" s="5"/>
      <c r="N51" s="6"/>
      <c r="O51" s="5"/>
      <c r="P51" s="5"/>
    </row>
    <row r="52" spans="1:16" x14ac:dyDescent="0.3">
      <c r="A52" s="2"/>
      <c r="B52" s="2"/>
      <c r="C52" s="2"/>
      <c r="D52" s="2"/>
      <c r="E52" s="2"/>
      <c r="F52" s="2"/>
      <c r="G52" s="2"/>
      <c r="H52" s="2"/>
      <c r="I52" s="2"/>
      <c r="J52" s="3"/>
      <c r="K52" s="3"/>
      <c r="L52" s="4" t="str">
        <f t="shared" si="1"/>
        <v/>
      </c>
      <c r="M52" s="5"/>
      <c r="N52" s="6"/>
      <c r="O52" s="5"/>
      <c r="P52" s="5"/>
    </row>
    <row r="53" spans="1:16" x14ac:dyDescent="0.3">
      <c r="A53" s="2"/>
      <c r="B53" s="2"/>
      <c r="C53" s="2"/>
      <c r="D53" s="2"/>
      <c r="E53" s="2"/>
      <c r="F53" s="2"/>
      <c r="G53" s="2"/>
      <c r="H53" s="2"/>
      <c r="I53" s="2"/>
      <c r="J53" s="3"/>
      <c r="K53" s="3"/>
      <c r="L53" s="4" t="str">
        <f t="shared" si="1"/>
        <v/>
      </c>
      <c r="M53" s="5"/>
      <c r="N53" s="6"/>
      <c r="O53" s="5"/>
      <c r="P53" s="5"/>
    </row>
    <row r="54" spans="1:16" x14ac:dyDescent="0.3">
      <c r="A54" s="2"/>
      <c r="B54" s="2"/>
      <c r="C54" s="2"/>
      <c r="D54" s="2"/>
      <c r="E54" s="2"/>
      <c r="F54" s="2"/>
      <c r="G54" s="2"/>
      <c r="H54" s="2"/>
      <c r="I54" s="2"/>
      <c r="J54" s="3"/>
      <c r="K54" s="3"/>
      <c r="L54" s="4" t="str">
        <f t="shared" si="1"/>
        <v/>
      </c>
      <c r="M54" s="5"/>
      <c r="N54" s="6"/>
      <c r="O54" s="5"/>
      <c r="P54" s="5"/>
    </row>
    <row r="55" spans="1:16" x14ac:dyDescent="0.3">
      <c r="A55" s="2"/>
      <c r="B55" s="2"/>
      <c r="C55" s="2"/>
      <c r="D55" s="2"/>
      <c r="E55" s="2"/>
      <c r="F55" s="2"/>
      <c r="G55" s="2"/>
      <c r="H55" s="2"/>
      <c r="I55" s="2"/>
      <c r="J55" s="3"/>
      <c r="K55" s="3"/>
      <c r="L55" s="4" t="str">
        <f t="shared" si="1"/>
        <v/>
      </c>
      <c r="M55" s="5"/>
      <c r="N55" s="6"/>
      <c r="O55" s="5"/>
      <c r="P55" s="5"/>
    </row>
    <row r="56" spans="1:16" x14ac:dyDescent="0.3">
      <c r="A56" s="2"/>
      <c r="B56" s="2"/>
      <c r="C56" s="2"/>
      <c r="D56" s="2"/>
      <c r="E56" s="2"/>
      <c r="F56" s="2"/>
      <c r="G56" s="2"/>
      <c r="H56" s="2"/>
      <c r="I56" s="2"/>
      <c r="J56" s="3"/>
      <c r="K56" s="3"/>
      <c r="L56" s="4" t="str">
        <f t="shared" si="1"/>
        <v/>
      </c>
      <c r="M56" s="5"/>
      <c r="N56" s="6"/>
      <c r="O56" s="5"/>
      <c r="P56" s="5"/>
    </row>
    <row r="57" spans="1:16" x14ac:dyDescent="0.3">
      <c r="A57" s="2"/>
      <c r="B57" s="2"/>
      <c r="C57" s="2"/>
      <c r="D57" s="2"/>
      <c r="E57" s="2"/>
      <c r="F57" s="2"/>
      <c r="G57" s="2"/>
      <c r="H57" s="2"/>
      <c r="I57" s="2"/>
      <c r="J57" s="3"/>
      <c r="K57" s="3"/>
      <c r="L57" s="4" t="str">
        <f t="shared" si="1"/>
        <v/>
      </c>
      <c r="M57" s="5"/>
      <c r="N57" s="6"/>
      <c r="O57" s="5"/>
      <c r="P57" s="5"/>
    </row>
    <row r="58" spans="1:16" x14ac:dyDescent="0.3">
      <c r="A58" s="2"/>
      <c r="B58" s="2"/>
      <c r="C58" s="2"/>
      <c r="D58" s="2"/>
      <c r="E58" s="2"/>
      <c r="F58" s="2"/>
      <c r="G58" s="2"/>
      <c r="H58" s="2"/>
      <c r="I58" s="2"/>
      <c r="J58" s="3"/>
      <c r="K58" s="3"/>
      <c r="L58" s="4" t="str">
        <f t="shared" si="1"/>
        <v/>
      </c>
      <c r="M58" s="5"/>
      <c r="N58" s="6"/>
      <c r="O58" s="5"/>
      <c r="P58" s="5"/>
    </row>
    <row r="59" spans="1:16" x14ac:dyDescent="0.3">
      <c r="A59" s="2"/>
      <c r="B59" s="2"/>
      <c r="C59" s="2"/>
      <c r="D59" s="2"/>
      <c r="E59" s="2"/>
      <c r="F59" s="2"/>
      <c r="G59" s="2"/>
      <c r="H59" s="2"/>
      <c r="I59" s="2"/>
      <c r="J59" s="3"/>
      <c r="K59" s="3"/>
      <c r="L59" s="4" t="str">
        <f t="shared" si="1"/>
        <v/>
      </c>
      <c r="M59" s="5"/>
      <c r="N59" s="6"/>
      <c r="O59" s="5"/>
      <c r="P59" s="5"/>
    </row>
    <row r="60" spans="1:16" x14ac:dyDescent="0.3">
      <c r="A60" s="2"/>
      <c r="B60" s="2"/>
      <c r="C60" s="2"/>
      <c r="D60" s="2"/>
      <c r="E60" s="2"/>
      <c r="F60" s="2"/>
      <c r="G60" s="2"/>
      <c r="H60" s="2"/>
      <c r="I60" s="2"/>
      <c r="J60" s="3"/>
      <c r="K60" s="3"/>
      <c r="L60" s="4" t="str">
        <f t="shared" si="1"/>
        <v/>
      </c>
      <c r="M60" s="5"/>
      <c r="N60" s="6"/>
      <c r="O60" s="5"/>
      <c r="P60" s="5"/>
    </row>
    <row r="61" spans="1:16" x14ac:dyDescent="0.3">
      <c r="A61" s="2"/>
      <c r="B61" s="2"/>
      <c r="C61" s="2"/>
      <c r="D61" s="2"/>
      <c r="E61" s="2"/>
      <c r="F61" s="2"/>
      <c r="G61" s="2"/>
      <c r="H61" s="2"/>
      <c r="I61" s="2"/>
      <c r="J61" s="3"/>
      <c r="K61" s="3"/>
      <c r="L61" s="4" t="str">
        <f t="shared" si="1"/>
        <v/>
      </c>
      <c r="M61" s="5"/>
      <c r="N61" s="6"/>
      <c r="O61" s="5"/>
      <c r="P61" s="5"/>
    </row>
    <row r="62" spans="1:16" x14ac:dyDescent="0.3">
      <c r="A62" s="2"/>
      <c r="B62" s="2"/>
      <c r="C62" s="2"/>
      <c r="D62" s="2"/>
      <c r="E62" s="2"/>
      <c r="F62" s="2"/>
      <c r="G62" s="2"/>
      <c r="H62" s="2"/>
      <c r="I62" s="2"/>
      <c r="J62" s="3"/>
      <c r="K62" s="3"/>
      <c r="L62" s="4" t="str">
        <f t="shared" si="1"/>
        <v/>
      </c>
      <c r="M62" s="5"/>
      <c r="N62" s="6"/>
      <c r="O62" s="5"/>
      <c r="P62" s="5"/>
    </row>
    <row r="63" spans="1:16" x14ac:dyDescent="0.3">
      <c r="A63" s="2"/>
      <c r="B63" s="2"/>
      <c r="C63" s="2"/>
      <c r="D63" s="2"/>
      <c r="E63" s="2"/>
      <c r="F63" s="2"/>
      <c r="G63" s="2"/>
      <c r="H63" s="2"/>
      <c r="I63" s="2"/>
      <c r="J63" s="3"/>
      <c r="K63" s="3"/>
      <c r="L63" s="4" t="str">
        <f t="shared" si="1"/>
        <v/>
      </c>
      <c r="M63" s="5"/>
      <c r="N63" s="6"/>
      <c r="O63" s="5"/>
      <c r="P63" s="5"/>
    </row>
    <row r="64" spans="1:16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spans="1:16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spans="1:16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spans="1:16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spans="1:16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spans="1:16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spans="1:16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1:16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spans="1:16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16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spans="1:16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spans="1:16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16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spans="1:16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spans="1:16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16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spans="1:16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1:16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1:16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16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16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1:16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pans="1:16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16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16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16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1:16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16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spans="1:16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spans="1:16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1:16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pans="1:16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pans="1:16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pans="1:16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1:16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1:16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spans="1:16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16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spans="1:16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spans="1:16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spans="1:16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1:16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spans="1:16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spans="1:16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spans="1:16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1:16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spans="1:16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spans="1:16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1:16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spans="1:16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spans="1:16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spans="1:16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spans="1:16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spans="1:16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spans="1:16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spans="1:16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spans="1:16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spans="1:16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spans="1:16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spans="1:16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1:16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spans="1:16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spans="1:16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spans="1:16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spans="1:16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spans="1:16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spans="1:16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spans="1:16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spans="1:16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spans="1:16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spans="1:16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spans="1:16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spans="1:16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spans="1:16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spans="1:16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spans="1:16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spans="1:16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spans="1:16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spans="1:16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pans="1:16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16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spans="1:16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spans="1:16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1:16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spans="1:16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spans="1:16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spans="1:16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spans="1:16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spans="1:16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spans="1:16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spans="1:16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spans="1:16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1:16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spans="1:16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spans="1:16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spans="1:16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spans="1:16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spans="1:16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spans="1:16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spans="1:16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spans="1:16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spans="1:16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spans="1:16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spans="1:16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spans="1:16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1:16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spans="1:16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spans="1:16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spans="1:16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spans="1:16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spans="1:16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spans="1:16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spans="1:16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spans="1:16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spans="1:16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spans="1:16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spans="1:16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spans="1:16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spans="1:16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spans="1:16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spans="1:16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spans="1:16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spans="1:16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spans="1:16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spans="1:16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spans="1:16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spans="1:16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spans="1:16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spans="1:16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spans="1:16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spans="1:16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spans="1:16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spans="1:16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spans="1:16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spans="1:16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spans="1:16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spans="1:16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spans="1:16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spans="1:16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spans="1:16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spans="1:16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spans="1:16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spans="1:16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spans="1:16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spans="1:16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spans="1:16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spans="1:16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spans="1:16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spans="1:16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spans="1:16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spans="1:16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spans="1:16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spans="1:16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spans="1:16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spans="1:16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spans="1:16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spans="1:16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spans="1:16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spans="1:16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spans="1:16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spans="1:16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spans="1:16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spans="1:16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spans="1:16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spans="1:16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spans="1:16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spans="1:16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spans="1:16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spans="1:16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spans="1:16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spans="1:16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spans="1:16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spans="1:16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spans="1:16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spans="1:16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spans="1:16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spans="1:16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spans="1:16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spans="1:16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spans="1:16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spans="1:16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spans="1:16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spans="1:16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spans="1:16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spans="1:16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spans="1:16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spans="1:16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spans="1:16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spans="1:16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spans="1:16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spans="1:16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spans="1:16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spans="1:16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spans="1:16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spans="1:16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spans="1:16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spans="1:16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spans="1:16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spans="1:16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spans="1:16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spans="1:16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spans="1:16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spans="1:16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spans="1:16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</row>
    <row r="313" spans="1:16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</row>
    <row r="314" spans="1:16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</row>
    <row r="315" spans="1:16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</row>
    <row r="316" spans="1:16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</row>
    <row r="317" spans="1:16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</row>
    <row r="318" spans="1:16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</row>
    <row r="319" spans="1:16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</row>
    <row r="320" spans="1:16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</row>
    <row r="321" spans="1:16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</row>
    <row r="322" spans="1:16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</row>
    <row r="323" spans="1:16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</row>
    <row r="324" spans="1:16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</row>
    <row r="325" spans="1:16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</row>
    <row r="326" spans="1:16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</row>
    <row r="327" spans="1:16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</row>
    <row r="328" spans="1:16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</row>
    <row r="329" spans="1:16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</row>
    <row r="330" spans="1:16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</row>
    <row r="331" spans="1:16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</row>
    <row r="332" spans="1:16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</row>
    <row r="333" spans="1:16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</row>
    <row r="334" spans="1:16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</row>
    <row r="335" spans="1:16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</row>
    <row r="336" spans="1:16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</row>
    <row r="337" spans="1:16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</row>
    <row r="338" spans="1:16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</row>
    <row r="339" spans="1:16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</row>
    <row r="340" spans="1:16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</row>
    <row r="341" spans="1:16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</row>
    <row r="342" spans="1:16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</row>
    <row r="343" spans="1:16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</row>
    <row r="344" spans="1:16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</row>
    <row r="345" spans="1:16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</row>
    <row r="346" spans="1:16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</row>
    <row r="347" spans="1:16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</row>
    <row r="348" spans="1:16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</row>
    <row r="349" spans="1:16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</row>
    <row r="350" spans="1:16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</row>
    <row r="351" spans="1:16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</row>
    <row r="352" spans="1:16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</row>
    <row r="353" spans="1:16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</row>
    <row r="354" spans="1:16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</row>
    <row r="355" spans="1:16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</row>
    <row r="356" spans="1:16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</row>
    <row r="357" spans="1:16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</row>
    <row r="358" spans="1:16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</row>
    <row r="359" spans="1:16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</row>
    <row r="360" spans="1:16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</row>
    <row r="361" spans="1:16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</row>
    <row r="362" spans="1:16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</row>
    <row r="363" spans="1:16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</row>
    <row r="364" spans="1:16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</row>
    <row r="365" spans="1:16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</row>
    <row r="366" spans="1:16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</row>
    <row r="367" spans="1:16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</row>
    <row r="368" spans="1:16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</row>
    <row r="369" spans="1:16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</row>
    <row r="370" spans="1:16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</row>
    <row r="371" spans="1:16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</row>
    <row r="372" spans="1:16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</row>
    <row r="373" spans="1:16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</row>
    <row r="374" spans="1:16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</row>
    <row r="375" spans="1:16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</row>
    <row r="376" spans="1:16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</row>
    <row r="377" spans="1:16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</row>
    <row r="378" spans="1:16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</row>
    <row r="379" spans="1:16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</row>
    <row r="380" spans="1:16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</row>
    <row r="381" spans="1:16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</row>
    <row r="382" spans="1:16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</row>
    <row r="383" spans="1:16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</row>
    <row r="384" spans="1:16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</row>
    <row r="385" spans="1:16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</row>
    <row r="386" spans="1:16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</row>
    <row r="387" spans="1:16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</row>
    <row r="388" spans="1:16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</row>
    <row r="389" spans="1:16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</row>
    <row r="390" spans="1:16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</row>
    <row r="391" spans="1:16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</row>
    <row r="392" spans="1:16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</row>
    <row r="393" spans="1:16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</row>
    <row r="394" spans="1:16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</row>
    <row r="395" spans="1:16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</row>
    <row r="396" spans="1:16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</row>
    <row r="397" spans="1:16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</row>
    <row r="398" spans="1:16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</row>
    <row r="399" spans="1:16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</row>
    <row r="400" spans="1:16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</row>
    <row r="401" spans="1:16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</row>
    <row r="402" spans="1:16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</row>
    <row r="403" spans="1:16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</row>
    <row r="404" spans="1:16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</row>
    <row r="405" spans="1:16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</row>
    <row r="406" spans="1:16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</row>
    <row r="407" spans="1:16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</row>
    <row r="408" spans="1:16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</row>
    <row r="409" spans="1:16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</row>
    <row r="410" spans="1:16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</row>
    <row r="411" spans="1:16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</row>
    <row r="412" spans="1:16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</row>
    <row r="413" spans="1:16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</row>
    <row r="414" spans="1:16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</row>
    <row r="415" spans="1:16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</row>
    <row r="416" spans="1:16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</row>
    <row r="417" spans="1:16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</row>
    <row r="418" spans="1:16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</row>
    <row r="419" spans="1:16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</row>
    <row r="420" spans="1:16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</row>
    <row r="421" spans="1:16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</row>
    <row r="422" spans="1:16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</row>
    <row r="423" spans="1:16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</row>
    <row r="424" spans="1:16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</row>
    <row r="425" spans="1:16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</row>
    <row r="426" spans="1:16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</row>
    <row r="427" spans="1:16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</row>
    <row r="428" spans="1:16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</row>
    <row r="429" spans="1:16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</row>
    <row r="430" spans="1:16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</row>
    <row r="431" spans="1:16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</row>
    <row r="432" spans="1:16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</row>
    <row r="433" spans="1:16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</row>
    <row r="434" spans="1:16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</row>
    <row r="435" spans="1:16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</row>
    <row r="436" spans="1:16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</row>
    <row r="437" spans="1:16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</row>
    <row r="438" spans="1:16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</row>
    <row r="439" spans="1:16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</row>
    <row r="440" spans="1:16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</row>
    <row r="441" spans="1:16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</row>
    <row r="442" spans="1:16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</row>
    <row r="443" spans="1:16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</row>
    <row r="444" spans="1:16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</row>
    <row r="445" spans="1:16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</row>
    <row r="446" spans="1:16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</row>
    <row r="447" spans="1:16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</row>
    <row r="448" spans="1:16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</row>
    <row r="449" spans="1:16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</row>
    <row r="450" spans="1:16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</row>
    <row r="451" spans="1:16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</row>
    <row r="452" spans="1:16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</row>
    <row r="453" spans="1:16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</row>
    <row r="454" spans="1:16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</row>
    <row r="455" spans="1:16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</row>
    <row r="456" spans="1:16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</row>
    <row r="457" spans="1:16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</row>
    <row r="458" spans="1:16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</row>
    <row r="459" spans="1:16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</row>
    <row r="460" spans="1:16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</row>
    <row r="461" spans="1:16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</row>
    <row r="462" spans="1:16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</row>
    <row r="463" spans="1:16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</row>
    <row r="464" spans="1:16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</row>
    <row r="465" spans="1:16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</row>
    <row r="466" spans="1:16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</row>
    <row r="467" spans="1:16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</row>
    <row r="468" spans="1:16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</row>
    <row r="469" spans="1:16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</row>
    <row r="470" spans="1:16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</row>
    <row r="471" spans="1:16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</row>
    <row r="472" spans="1:16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</row>
    <row r="473" spans="1:16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</row>
    <row r="474" spans="1:16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</row>
    <row r="475" spans="1:16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</row>
    <row r="476" spans="1:16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</row>
    <row r="477" spans="1:16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</row>
    <row r="478" spans="1:16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</row>
    <row r="479" spans="1:16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</row>
    <row r="480" spans="1:16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</row>
    <row r="481" spans="1:16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</row>
    <row r="482" spans="1:16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</row>
    <row r="483" spans="1:16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</row>
    <row r="484" spans="1:16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</row>
    <row r="485" spans="1:16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</row>
    <row r="486" spans="1:16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</row>
    <row r="487" spans="1:16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</row>
    <row r="488" spans="1:16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</row>
    <row r="489" spans="1:16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</row>
    <row r="490" spans="1:16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</row>
    <row r="491" spans="1:16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</row>
    <row r="492" spans="1:16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</row>
    <row r="493" spans="1:16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</row>
    <row r="494" spans="1:16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</row>
    <row r="495" spans="1:16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</row>
    <row r="496" spans="1:16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</row>
    <row r="497" spans="1:16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</row>
    <row r="498" spans="1:16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</row>
    <row r="499" spans="1:16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</row>
    <row r="500" spans="1:16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</row>
    <row r="501" spans="1:16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</row>
    <row r="502" spans="1:16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</row>
    <row r="503" spans="1:16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</row>
  </sheetData>
  <mergeCells count="2">
    <mergeCell ref="A1:P1"/>
    <mergeCell ref="A2:P2"/>
  </mergeCells>
  <dataValidations count="3">
    <dataValidation type="list" allowBlank="1" sqref="B4:B503" xr:uid="{00000000-0002-0000-0000-000000000000}">
      <formula1>"Actif,Grâce 90 jours,Retiré"</formula1>
    </dataValidation>
    <dataValidation type="list" allowBlank="1" sqref="C4:C503" xr:uid="{00000000-0002-0000-0000-000001000000}">
      <formula1>"Membre,Famille"</formula1>
    </dataValidation>
    <dataValidation type="list" allowBlank="1" sqref="M4:M503" xr:uid="{00000000-0002-0000-0000-000002000000}">
      <formula1>"Oui,Non"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workbookViewId="0"/>
  </sheetViews>
  <sheetFormatPr defaultRowHeight="14.4" x14ac:dyDescent="0.3"/>
  <cols>
    <col min="1" max="1" width="16" customWidth="1"/>
    <col min="2" max="2" width="18" customWidth="1"/>
    <col min="3" max="3" width="16" customWidth="1"/>
    <col min="4" max="4" width="18" customWidth="1"/>
    <col min="5" max="5" width="14" customWidth="1"/>
    <col min="6" max="6" width="30" customWidth="1"/>
  </cols>
  <sheetData>
    <row r="1" spans="1:7" ht="25.95" customHeight="1" x14ac:dyDescent="0.3">
      <c r="A1" s="23" t="s">
        <v>74</v>
      </c>
      <c r="B1" s="21"/>
      <c r="C1" s="21"/>
      <c r="D1" s="21"/>
      <c r="E1" s="21"/>
      <c r="F1" s="21"/>
      <c r="G1" s="21"/>
    </row>
    <row r="3" spans="1:7" x14ac:dyDescent="0.3">
      <c r="A3" s="7" t="s">
        <v>27</v>
      </c>
      <c r="B3" s="8">
        <v>8</v>
      </c>
      <c r="C3" s="9" t="s">
        <v>68</v>
      </c>
    </row>
    <row r="5" spans="1:7" x14ac:dyDescent="0.3">
      <c r="A5" s="7" t="s">
        <v>28</v>
      </c>
      <c r="B5" s="10">
        <f>COUNTIF(Registre!B4:B503,"Actif")</f>
        <v>1</v>
      </c>
    </row>
    <row r="6" spans="1:7" x14ac:dyDescent="0.3">
      <c r="A6" s="7" t="s">
        <v>29</v>
      </c>
      <c r="B6" s="10">
        <f>COUNTIF(Registre!B4:B503,"Grâce 90 jours")</f>
        <v>0</v>
      </c>
    </row>
    <row r="7" spans="1:7" x14ac:dyDescent="0.3">
      <c r="A7" s="7" t="s">
        <v>30</v>
      </c>
      <c r="B7" s="10">
        <f>COUNTIF(Registre!B4:B503,"Retiré")</f>
        <v>0</v>
      </c>
    </row>
    <row r="8" spans="1:7" x14ac:dyDescent="0.3">
      <c r="A8" s="7" t="s">
        <v>31</v>
      </c>
      <c r="B8" s="10">
        <f>COUNTIFS(Registre!B4:B503,"Actif",Registre!M4:M503,"Non")</f>
        <v>0</v>
      </c>
    </row>
    <row r="9" spans="1:7" ht="15.6" x14ac:dyDescent="0.3">
      <c r="A9" s="7" t="s">
        <v>32</v>
      </c>
      <c r="B9" s="11">
        <f>B5*B3</f>
        <v>8</v>
      </c>
    </row>
    <row r="11" spans="1:7" x14ac:dyDescent="0.3">
      <c r="A11" s="12" t="s">
        <v>33</v>
      </c>
    </row>
    <row r="12" spans="1:7" x14ac:dyDescent="0.3">
      <c r="A12" s="13" t="s">
        <v>34</v>
      </c>
      <c r="B12" s="13" t="s">
        <v>35</v>
      </c>
      <c r="C12" s="13" t="s">
        <v>36</v>
      </c>
      <c r="D12" s="13" t="s">
        <v>37</v>
      </c>
      <c r="E12" s="13" t="s">
        <v>38</v>
      </c>
      <c r="F12" s="13" t="s">
        <v>14</v>
      </c>
    </row>
    <row r="13" spans="1:7" x14ac:dyDescent="0.3">
      <c r="A13" s="14" t="s">
        <v>39</v>
      </c>
      <c r="B13" s="14">
        <v>152</v>
      </c>
      <c r="C13" s="15">
        <f>B13*Facturation!$B$3</f>
        <v>1216</v>
      </c>
      <c r="D13" s="14" t="s">
        <v>40</v>
      </c>
      <c r="E13" s="14" t="s">
        <v>41</v>
      </c>
      <c r="F13" s="14" t="s">
        <v>42</v>
      </c>
    </row>
    <row r="14" spans="1:7" x14ac:dyDescent="0.3">
      <c r="A14" s="14"/>
      <c r="B14" s="14"/>
      <c r="C14" s="14"/>
      <c r="D14" s="14"/>
      <c r="E14" s="14"/>
      <c r="F14" s="14"/>
    </row>
    <row r="15" spans="1:7" x14ac:dyDescent="0.3">
      <c r="A15" s="14"/>
      <c r="B15" s="14"/>
      <c r="C15" s="14"/>
      <c r="D15" s="14"/>
      <c r="E15" s="14"/>
      <c r="F15" s="14"/>
    </row>
    <row r="16" spans="1:7" x14ac:dyDescent="0.3">
      <c r="A16" s="14"/>
      <c r="B16" s="14"/>
      <c r="C16" s="14"/>
      <c r="D16" s="14"/>
      <c r="E16" s="14"/>
      <c r="F16" s="14"/>
    </row>
    <row r="17" spans="1:6" x14ac:dyDescent="0.3">
      <c r="A17" s="14"/>
      <c r="B17" s="14"/>
      <c r="C17" s="14"/>
      <c r="D17" s="14"/>
      <c r="E17" s="14"/>
      <c r="F17" s="14"/>
    </row>
    <row r="18" spans="1:6" x14ac:dyDescent="0.3">
      <c r="A18" s="14"/>
      <c r="B18" s="14"/>
      <c r="C18" s="14"/>
      <c r="D18" s="14"/>
      <c r="E18" s="14"/>
      <c r="F18" s="14"/>
    </row>
    <row r="19" spans="1:6" x14ac:dyDescent="0.3">
      <c r="A19" s="14"/>
      <c r="B19" s="14"/>
      <c r="C19" s="14"/>
      <c r="D19" s="14"/>
      <c r="E19" s="14"/>
      <c r="F19" s="14"/>
    </row>
    <row r="20" spans="1:6" x14ac:dyDescent="0.3">
      <c r="A20" s="14"/>
      <c r="B20" s="14"/>
      <c r="C20" s="14"/>
      <c r="D20" s="14"/>
      <c r="E20" s="14"/>
      <c r="F20" s="14"/>
    </row>
    <row r="21" spans="1:6" x14ac:dyDescent="0.3">
      <c r="A21" s="14"/>
      <c r="B21" s="14"/>
      <c r="C21" s="14"/>
      <c r="D21" s="14"/>
      <c r="E21" s="14"/>
      <c r="F21" s="14"/>
    </row>
    <row r="22" spans="1:6" x14ac:dyDescent="0.3">
      <c r="A22" s="14"/>
      <c r="B22" s="14"/>
      <c r="C22" s="14"/>
      <c r="D22" s="14"/>
      <c r="E22" s="14"/>
      <c r="F22" s="14"/>
    </row>
    <row r="23" spans="1:6" x14ac:dyDescent="0.3">
      <c r="A23" s="14"/>
      <c r="B23" s="14"/>
      <c r="C23" s="14"/>
      <c r="D23" s="14"/>
      <c r="E23" s="14"/>
      <c r="F23" s="14"/>
    </row>
    <row r="24" spans="1:6" x14ac:dyDescent="0.3">
      <c r="A24" s="14"/>
      <c r="B24" s="14"/>
      <c r="C24" s="14"/>
      <c r="D24" s="14"/>
      <c r="E24" s="14"/>
      <c r="F24" s="14"/>
    </row>
    <row r="25" spans="1:6" x14ac:dyDescent="0.3">
      <c r="A25" s="14"/>
      <c r="B25" s="14"/>
      <c r="C25" s="14"/>
      <c r="D25" s="14"/>
      <c r="E25" s="14"/>
      <c r="F25" s="14"/>
    </row>
    <row r="26" spans="1:6" x14ac:dyDescent="0.3">
      <c r="A26" s="14"/>
      <c r="B26" s="14"/>
      <c r="C26" s="14"/>
      <c r="D26" s="14"/>
      <c r="E26" s="14"/>
      <c r="F26" s="14"/>
    </row>
    <row r="27" spans="1:6" x14ac:dyDescent="0.3">
      <c r="A27" s="14"/>
      <c r="B27" s="14"/>
      <c r="C27" s="14"/>
      <c r="D27" s="14"/>
      <c r="E27" s="14"/>
      <c r="F27" s="14"/>
    </row>
    <row r="28" spans="1:6" x14ac:dyDescent="0.3">
      <c r="A28" s="14"/>
      <c r="B28" s="14"/>
      <c r="C28" s="14"/>
      <c r="D28" s="14"/>
      <c r="E28" s="14"/>
      <c r="F28" s="14"/>
    </row>
    <row r="29" spans="1:6" x14ac:dyDescent="0.3">
      <c r="A29" s="14"/>
      <c r="B29" s="14"/>
      <c r="C29" s="14"/>
      <c r="D29" s="14"/>
      <c r="E29" s="14"/>
      <c r="F29" s="14"/>
    </row>
    <row r="30" spans="1:6" x14ac:dyDescent="0.3">
      <c r="A30" s="14"/>
      <c r="B30" s="14"/>
      <c r="C30" s="14"/>
      <c r="D30" s="14"/>
      <c r="E30" s="14"/>
      <c r="F30" s="14"/>
    </row>
    <row r="31" spans="1:6" x14ac:dyDescent="0.3">
      <c r="A31" s="14"/>
      <c r="B31" s="14"/>
      <c r="C31" s="14"/>
      <c r="D31" s="14"/>
      <c r="E31" s="14"/>
      <c r="F31" s="14"/>
    </row>
    <row r="32" spans="1:6" x14ac:dyDescent="0.3">
      <c r="A32" s="14"/>
      <c r="B32" s="14"/>
      <c r="C32" s="14"/>
      <c r="D32" s="14"/>
      <c r="E32" s="14"/>
      <c r="F32" s="14"/>
    </row>
    <row r="33" spans="1:6" x14ac:dyDescent="0.3">
      <c r="A33" s="14"/>
      <c r="B33" s="14"/>
      <c r="C33" s="14"/>
      <c r="D33" s="14"/>
      <c r="E33" s="14"/>
      <c r="F33" s="14"/>
    </row>
    <row r="34" spans="1:6" x14ac:dyDescent="0.3">
      <c r="A34" s="14"/>
      <c r="B34" s="14"/>
      <c r="C34" s="14"/>
      <c r="D34" s="14"/>
      <c r="E34" s="14"/>
      <c r="F34" s="14"/>
    </row>
    <row r="35" spans="1:6" x14ac:dyDescent="0.3">
      <c r="A35" s="14"/>
      <c r="B35" s="14"/>
      <c r="C35" s="14"/>
      <c r="D35" s="14"/>
      <c r="E35" s="14"/>
      <c r="F35" s="14"/>
    </row>
    <row r="36" spans="1:6" x14ac:dyDescent="0.3">
      <c r="A36" s="14"/>
      <c r="B36" s="14"/>
      <c r="C36" s="14"/>
      <c r="D36" s="14"/>
      <c r="E36" s="14"/>
      <c r="F36" s="14"/>
    </row>
    <row r="37" spans="1:6" x14ac:dyDescent="0.3">
      <c r="A37" s="14"/>
      <c r="B37" s="14"/>
      <c r="C37" s="14"/>
      <c r="D37" s="14"/>
      <c r="E37" s="14"/>
      <c r="F37" s="14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8"/>
  <sheetViews>
    <sheetView workbookViewId="0">
      <selection sqref="A1:B1"/>
    </sheetView>
  </sheetViews>
  <sheetFormatPr defaultRowHeight="14.4" x14ac:dyDescent="0.3"/>
  <cols>
    <col min="1" max="1" width="52" customWidth="1"/>
    <col min="2" max="2" width="110" customWidth="1"/>
  </cols>
  <sheetData>
    <row r="1" spans="1:2" ht="24" customHeight="1" x14ac:dyDescent="0.3">
      <c r="A1" s="24" t="s">
        <v>73</v>
      </c>
      <c r="B1" s="21"/>
    </row>
    <row r="2" spans="1:2" x14ac:dyDescent="0.3">
      <c r="A2" s="7"/>
      <c r="B2" s="16"/>
    </row>
    <row r="3" spans="1:2" x14ac:dyDescent="0.3">
      <c r="A3" s="17" t="s">
        <v>71</v>
      </c>
      <c r="B3" s="16"/>
    </row>
    <row r="4" spans="1:2" ht="26.4" x14ac:dyDescent="0.3">
      <c r="A4" s="7" t="s">
        <v>43</v>
      </c>
      <c r="B4" s="16" t="s">
        <v>44</v>
      </c>
    </row>
    <row r="5" spans="1:2" ht="26.4" x14ac:dyDescent="0.3">
      <c r="A5" s="7" t="s">
        <v>45</v>
      </c>
      <c r="B5" s="19" t="s">
        <v>46</v>
      </c>
    </row>
    <row r="6" spans="1:2" x14ac:dyDescent="0.3">
      <c r="A6" s="7" t="s">
        <v>47</v>
      </c>
      <c r="B6" s="16" t="s">
        <v>69</v>
      </c>
    </row>
    <row r="7" spans="1:2" ht="26.4" x14ac:dyDescent="0.3">
      <c r="A7" s="7" t="s">
        <v>48</v>
      </c>
      <c r="B7" s="16" t="s">
        <v>49</v>
      </c>
    </row>
    <row r="8" spans="1:2" x14ac:dyDescent="0.3">
      <c r="A8" s="7" t="s">
        <v>50</v>
      </c>
      <c r="B8" s="16" t="s">
        <v>51</v>
      </c>
    </row>
    <row r="9" spans="1:2" x14ac:dyDescent="0.3">
      <c r="A9" s="7"/>
      <c r="B9" s="16"/>
    </row>
    <row r="10" spans="1:2" x14ac:dyDescent="0.3">
      <c r="A10" s="17" t="s">
        <v>52</v>
      </c>
      <c r="B10" s="16"/>
    </row>
    <row r="11" spans="1:2" x14ac:dyDescent="0.3">
      <c r="A11" s="7" t="s">
        <v>53</v>
      </c>
      <c r="B11" s="16" t="s">
        <v>54</v>
      </c>
    </row>
    <row r="12" spans="1:2" ht="26.4" x14ac:dyDescent="0.3">
      <c r="A12" s="7" t="s">
        <v>55</v>
      </c>
      <c r="B12" s="16" t="s">
        <v>56</v>
      </c>
    </row>
    <row r="13" spans="1:2" x14ac:dyDescent="0.3">
      <c r="A13" s="7" t="s">
        <v>57</v>
      </c>
      <c r="B13" s="16" t="s">
        <v>58</v>
      </c>
    </row>
    <row r="14" spans="1:2" ht="26.4" x14ac:dyDescent="0.3">
      <c r="A14" s="7" t="s">
        <v>59</v>
      </c>
      <c r="B14" s="16" t="s">
        <v>70</v>
      </c>
    </row>
    <row r="15" spans="1:2" x14ac:dyDescent="0.3">
      <c r="A15" s="7"/>
      <c r="B15" s="16"/>
    </row>
    <row r="16" spans="1:2" x14ac:dyDescent="0.3">
      <c r="A16" s="17" t="s">
        <v>60</v>
      </c>
      <c r="B16" s="16"/>
    </row>
    <row r="17" spans="1:2" ht="26.4" x14ac:dyDescent="0.3">
      <c r="A17" s="7" t="s">
        <v>61</v>
      </c>
      <c r="B17" s="16" t="s">
        <v>72</v>
      </c>
    </row>
    <row r="18" spans="1:2" x14ac:dyDescent="0.3">
      <c r="A18" s="7" t="s">
        <v>62</v>
      </c>
      <c r="B18" s="16" t="s">
        <v>63</v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55C2-8A01-4622-A9B6-8B7BC200582B}">
  <dimension ref="A1:H10"/>
  <sheetViews>
    <sheetView tabSelected="1" workbookViewId="0"/>
  </sheetViews>
  <sheetFormatPr defaultRowHeight="14.4" x14ac:dyDescent="0.3"/>
  <cols>
    <col min="1" max="1" width="60.77734375" customWidth="1"/>
    <col min="2" max="2" width="14.77734375" customWidth="1"/>
    <col min="3" max="3" width="16.77734375" customWidth="1"/>
    <col min="4" max="4" width="18.77734375" customWidth="1"/>
    <col min="5" max="5" width="26.77734375" customWidth="1"/>
    <col min="6" max="6" width="28.77734375" customWidth="1"/>
    <col min="7" max="7" width="16.77734375" customWidth="1"/>
    <col min="8" max="8" width="40.77734375" customWidth="1"/>
  </cols>
  <sheetData>
    <row r="1" spans="1:8" ht="17.399999999999999" x14ac:dyDescent="0.35">
      <c r="A1" s="25" t="s">
        <v>75</v>
      </c>
      <c r="B1" s="26"/>
      <c r="C1" s="26"/>
      <c r="D1" s="26"/>
      <c r="E1" s="26"/>
      <c r="F1" s="26"/>
      <c r="G1" s="26"/>
      <c r="H1" s="26"/>
    </row>
    <row r="3" spans="1:8" x14ac:dyDescent="0.3">
      <c r="A3" t="s">
        <v>76</v>
      </c>
      <c r="B3">
        <f>Facturation!B5</f>
        <v>1</v>
      </c>
    </row>
    <row r="4" spans="1:8" x14ac:dyDescent="0.3">
      <c r="A4" t="s">
        <v>77</v>
      </c>
    </row>
    <row r="5" spans="1:8" x14ac:dyDescent="0.3">
      <c r="A5" s="27" t="s">
        <v>78</v>
      </c>
      <c r="B5" s="28">
        <f>INT(B3/100)*5</f>
        <v>0</v>
      </c>
    </row>
    <row r="6" spans="1:8" x14ac:dyDescent="0.3">
      <c r="A6" t="s">
        <v>79</v>
      </c>
      <c r="B6">
        <f ca="1">COUNTIFS(A10:A509,"&gt;="&amp;DATE(YEAR(TODAY()),MONTH(TODAY()),1),A10:A509,"&lt;"&amp;DATE(YEAR(TODAY()),MONTH(TODAY())+1,1))</f>
        <v>1</v>
      </c>
    </row>
    <row r="7" spans="1:8" x14ac:dyDescent="0.3">
      <c r="A7" s="27" t="s">
        <v>80</v>
      </c>
      <c r="B7" s="27">
        <f ca="1">B5-B6</f>
        <v>-1</v>
      </c>
    </row>
    <row r="9" spans="1:8" x14ac:dyDescent="0.3">
      <c r="A9" s="29" t="s">
        <v>81</v>
      </c>
      <c r="B9" s="29" t="s">
        <v>4</v>
      </c>
      <c r="C9" s="29" t="s">
        <v>5</v>
      </c>
      <c r="D9" s="29" t="s">
        <v>7</v>
      </c>
      <c r="E9" s="29" t="s">
        <v>6</v>
      </c>
      <c r="F9" s="29" t="s">
        <v>82</v>
      </c>
      <c r="G9" s="29" t="s">
        <v>83</v>
      </c>
      <c r="H9" s="29" t="s">
        <v>84</v>
      </c>
    </row>
    <row r="10" spans="1:8" x14ac:dyDescent="0.3">
      <c r="A10" s="30">
        <v>46280</v>
      </c>
      <c r="B10" t="s">
        <v>85</v>
      </c>
      <c r="C10" t="s">
        <v>86</v>
      </c>
      <c r="D10" t="s">
        <v>87</v>
      </c>
      <c r="E10" t="s">
        <v>88</v>
      </c>
      <c r="F10" t="s">
        <v>89</v>
      </c>
      <c r="H10" t="s">
        <v>90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Registre</vt:lpstr>
      <vt:lpstr>Facturation</vt:lpstr>
      <vt:lpstr>Instructions</vt:lpstr>
      <vt:lpstr>Accès gratuits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Faviel Font</cp:lastModifiedBy>
  <dcterms:created xsi:type="dcterms:W3CDTF">2026-08-31T21:24:43Z</dcterms:created>
  <dcterms:modified xsi:type="dcterms:W3CDTF">2026-09-02T17:35:38Z</dcterms:modified>
</cp:coreProperties>
</file>